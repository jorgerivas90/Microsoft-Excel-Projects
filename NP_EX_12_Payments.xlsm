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orge\Downloads\Excel_Module12_DataFiles\Excel12\Review\"/>
    </mc:Choice>
  </mc:AlternateContent>
  <xr:revisionPtr revIDLastSave="0" documentId="13_ncr:1_{AD32BD17-EEF3-414C-A3B2-6D1BD48D250D}" xr6:coauthVersionLast="47" xr6:coauthVersionMax="47" xr10:uidLastSave="{00000000-0000-0000-0000-000000000000}"/>
  <workbookProtection lockStructure="1"/>
  <bookViews>
    <workbookView xWindow="-110" yWindow="-110" windowWidth="19420" windowHeight="11020" tabRatio="760" activeTab="1" xr2:uid="{77B00023-BAF9-4868-8987-78B1CB9A6986}"/>
  </bookViews>
  <sheets>
    <sheet name="Documentation" sheetId="1" r:id="rId1"/>
    <sheet name="Summary" sheetId="5" r:id="rId2"/>
    <sheet name="Payment Form" sheetId="10" r:id="rId3"/>
    <sheet name="Donors" sheetId="2" r:id="rId4"/>
    <sheet name="Payments" sheetId="3" r:id="rId5"/>
    <sheet name="Pledge Tables" sheetId="6" state="hidden" r:id="rId6"/>
    <sheet name="Payment History" sheetId="8" state="hidden" r:id="rId7"/>
    <sheet name="Fully Paid Donations" sheetId="7" state="hidden" r:id="rId8"/>
    <sheet name="Terms and Defintions" sheetId="4" r:id="rId9"/>
  </sheets>
  <definedNames>
    <definedName name="_xlchart.v2.0" hidden="1">'Fully Paid Donations'!$B$5:$B$15</definedName>
    <definedName name="_xlchart.v2.1" hidden="1">'Fully Paid Donations'!$C$4</definedName>
    <definedName name="_xlchart.v2.2" hidden="1">'Fully Paid Donations'!$C$5:$C$15</definedName>
    <definedName name="_xlcn.WorksheetConnection_NP_EX_12_Payments.xlsxDonors1" hidden="1">Donors[]</definedName>
    <definedName name="_xlcn.WorksheetConnection_NP_EX_12_Payments.xlsxPayments1" hidden="1">Payments[]</definedName>
  </definedNames>
  <calcPr calcId="191029"/>
  <pivotCaches>
    <pivotCache cacheId="14" r:id="rId10"/>
    <pivotCache cacheId="17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ayments" name="Payments" connection="WorksheetConnection_NP_EX_12_Payments.xlsx!Payments"/>
          <x15:modelTable id="Donors" name="Donors" connection="WorksheetConnection_NP_EX_12_Payments.xlsx!Donors"/>
        </x15:modelTables>
        <x15:modelRelationships>
          <x15:modelRelationship fromTable="Payments" fromColumn="Donor ID" toTable="Donors" toColumn="Donor 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Payments" columnName="Date" columnId="Date"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0" l="1"/>
  <c r="F5" i="10"/>
  <c r="G4" i="5"/>
  <c r="G3" i="5"/>
  <c r="G5" i="5"/>
  <c r="F6" i="10" l="1"/>
  <c r="C5" i="7"/>
  <c r="C6" i="7"/>
  <c r="C7" i="7"/>
  <c r="C8" i="7"/>
  <c r="C9" i="7"/>
  <c r="C10" i="7"/>
  <c r="C11" i="7"/>
  <c r="C12" i="7"/>
  <c r="C13" i="7"/>
  <c r="C14" i="7"/>
  <c r="C15" i="7"/>
  <c r="B6" i="7"/>
  <c r="B7" i="7"/>
  <c r="B8" i="7"/>
  <c r="B9" i="7"/>
  <c r="B10" i="7"/>
  <c r="B11" i="7"/>
  <c r="B12" i="7"/>
  <c r="B13" i="7"/>
  <c r="B14" i="7"/>
  <c r="B15" i="7"/>
  <c r="B5" i="7"/>
  <c r="H4" i="5"/>
  <c r="H3" i="5"/>
  <c r="H5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0B28E87-5AD8-4B61-9C5C-DBAA9B5EA2A8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87595FC-52D6-4CD0-8D33-F5175CC192F0}" name="WorksheetConnection_NP_EX_12_Payments.xlsx!Donors" type="102" refreshedVersion="7" minRefreshableVersion="5">
    <extLst>
      <ext xmlns:x15="http://schemas.microsoft.com/office/spreadsheetml/2010/11/main" uri="{DE250136-89BD-433C-8126-D09CA5730AF9}">
        <x15:connection id="Donors">
          <x15:rangePr sourceName="_xlcn.WorksheetConnection_NP_EX_12_Payments.xlsxDonors1"/>
        </x15:connection>
      </ext>
    </extLst>
  </connection>
  <connection id="3" xr16:uid="{D22C8223-0953-48D0-9C57-3568F2BD978A}" name="WorksheetConnection_NP_EX_12_Payments.xlsx!Payments" type="102" refreshedVersion="7" minRefreshableVersion="5">
    <extLst>
      <ext xmlns:x15="http://schemas.microsoft.com/office/spreadsheetml/2010/11/main" uri="{DE250136-89BD-433C-8126-D09CA5730AF9}">
        <x15:connection id="Payments">
          <x15:rangePr sourceName="_xlcn.WorksheetConnection_NP_EX_12_Payments.xlsxPayments1"/>
        </x15:connection>
      </ext>
    </extLst>
  </connection>
</connections>
</file>

<file path=xl/sharedStrings.xml><?xml version="1.0" encoding="utf-8"?>
<sst xmlns="http://schemas.openxmlformats.org/spreadsheetml/2006/main" count="3234" uniqueCount="1921">
  <si>
    <t>Primrose Community Clinic</t>
  </si>
  <si>
    <t>Author</t>
  </si>
  <si>
    <t>Date</t>
  </si>
  <si>
    <t>Purpose</t>
  </si>
  <si>
    <t>To track progress in paying pledges to the Primrose Community Clinic fundraiser</t>
  </si>
  <si>
    <t>Sandra</t>
  </si>
  <si>
    <t>Lewis</t>
  </si>
  <si>
    <t>14 Upton Court</t>
  </si>
  <si>
    <t>Flint</t>
  </si>
  <si>
    <t>MI</t>
  </si>
  <si>
    <t>(810) 555-1008</t>
  </si>
  <si>
    <t>Laura</t>
  </si>
  <si>
    <t>Raymond</t>
  </si>
  <si>
    <t>8 Elm Drive</t>
  </si>
  <si>
    <t>Columbus</t>
  </si>
  <si>
    <t>OH</t>
  </si>
  <si>
    <t>(614) 555-4856</t>
  </si>
  <si>
    <t>Kevin</t>
  </si>
  <si>
    <t>Nielsen</t>
  </si>
  <si>
    <t>150 Main Street</t>
  </si>
  <si>
    <t>El Paso</t>
  </si>
  <si>
    <t>TX</t>
  </si>
  <si>
    <t>79915</t>
  </si>
  <si>
    <t>(915) 555-2308</t>
  </si>
  <si>
    <t>Harvey</t>
  </si>
  <si>
    <t>Williams</t>
  </si>
  <si>
    <t>795 Brennan Court</t>
  </si>
  <si>
    <t>Toledo</t>
  </si>
  <si>
    <t>43612</t>
  </si>
  <si>
    <t>(419) 555-6078</t>
  </si>
  <si>
    <t>Paul</t>
  </si>
  <si>
    <t>Cope</t>
  </si>
  <si>
    <t>739 Fielding Street</t>
  </si>
  <si>
    <t>Houston</t>
  </si>
  <si>
    <t>77020</t>
  </si>
  <si>
    <t>(281) 555-5545</t>
  </si>
  <si>
    <t>William</t>
  </si>
  <si>
    <t>Bailey</t>
  </si>
  <si>
    <t>786 Garvey Street</t>
  </si>
  <si>
    <t>43614</t>
  </si>
  <si>
    <t>(419) 555-7849</t>
  </si>
  <si>
    <t>Herbert</t>
  </si>
  <si>
    <t>Silva</t>
  </si>
  <si>
    <t>916 Watkins Street</t>
  </si>
  <si>
    <t>43605</t>
  </si>
  <si>
    <t>(419) 555-4583</t>
  </si>
  <si>
    <t>Lori</t>
  </si>
  <si>
    <t>Johnson</t>
  </si>
  <si>
    <t>43 Berkeley Way</t>
  </si>
  <si>
    <t>43608</t>
  </si>
  <si>
    <t>(419) 555-9836</t>
  </si>
  <si>
    <t>Brandon</t>
  </si>
  <si>
    <t>Frost</t>
  </si>
  <si>
    <t>545 West Sternes Avenue</t>
  </si>
  <si>
    <t>43613</t>
  </si>
  <si>
    <t>(419) 555-7555</t>
  </si>
  <si>
    <t>Mildred</t>
  </si>
  <si>
    <t>Russel</t>
  </si>
  <si>
    <t>192 Oregon Avenue</t>
  </si>
  <si>
    <t>Bowling Green</t>
  </si>
  <si>
    <t>43402</t>
  </si>
  <si>
    <t>(419) 555-5383</t>
  </si>
  <si>
    <t>Mary</t>
  </si>
  <si>
    <t>Guinn</t>
  </si>
  <si>
    <t>472 Buena Avenue</t>
  </si>
  <si>
    <t>43611</t>
  </si>
  <si>
    <t>(419) 555-5714</t>
  </si>
  <si>
    <t>Nellie</t>
  </si>
  <si>
    <t>Dent</t>
  </si>
  <si>
    <t>175 Lightfoot Street</t>
  </si>
  <si>
    <t>(419) 555-6809</t>
  </si>
  <si>
    <t>Andre</t>
  </si>
  <si>
    <t>Fisher</t>
  </si>
  <si>
    <t>854 Montana Avenue</t>
  </si>
  <si>
    <t>43620</t>
  </si>
  <si>
    <t>(419) 555-3316</t>
  </si>
  <si>
    <t>James</t>
  </si>
  <si>
    <t>Allen</t>
  </si>
  <si>
    <t>741 Sunnyside Avenue</t>
  </si>
  <si>
    <t>Dearborn</t>
  </si>
  <si>
    <t>48124</t>
  </si>
  <si>
    <t>(313) 555-7025</t>
  </si>
  <si>
    <t>Henry</t>
  </si>
  <si>
    <t>Dickinson</t>
  </si>
  <si>
    <t>136 Roslyn Avenue</t>
  </si>
  <si>
    <t>(419) 555-4384</t>
  </si>
  <si>
    <t>Clifford</t>
  </si>
  <si>
    <t>Feld</t>
  </si>
  <si>
    <t>552 West Gilbert Lane</t>
  </si>
  <si>
    <t>43615</t>
  </si>
  <si>
    <t>(419) 555-9268</t>
  </si>
  <si>
    <t>Annette</t>
  </si>
  <si>
    <t>48 Solme Boulevard</t>
  </si>
  <si>
    <t>(419) 555-5894</t>
  </si>
  <si>
    <t>David</t>
  </si>
  <si>
    <t>Simms</t>
  </si>
  <si>
    <t>624 Torrence Way</t>
  </si>
  <si>
    <t>(419) 555-1814</t>
  </si>
  <si>
    <t>Deborah</t>
  </si>
  <si>
    <t>Quintero</t>
  </si>
  <si>
    <t>223 Esmond Way</t>
  </si>
  <si>
    <t>Shakopee</t>
  </si>
  <si>
    <t>MN</t>
  </si>
  <si>
    <t>55379</t>
  </si>
  <si>
    <t>(952) 555-9462</t>
  </si>
  <si>
    <t>Bill</t>
  </si>
  <si>
    <t>Harrison</t>
  </si>
  <si>
    <t>826 Oleander Street</t>
  </si>
  <si>
    <t>(419) 555-2108</t>
  </si>
  <si>
    <t>Amanda</t>
  </si>
  <si>
    <t>Anderson</t>
  </si>
  <si>
    <t>378 Oakenwald Street</t>
  </si>
  <si>
    <t>Oregon</t>
  </si>
  <si>
    <t>43616</t>
  </si>
  <si>
    <t>(419) 555-3593</t>
  </si>
  <si>
    <t>Ott</t>
  </si>
  <si>
    <t>924 North Besly Lane</t>
  </si>
  <si>
    <t>(419) 555-8034</t>
  </si>
  <si>
    <t>Lawrence</t>
  </si>
  <si>
    <t>Miller</t>
  </si>
  <si>
    <t>483 Liberty Way</t>
  </si>
  <si>
    <t>Cypress</t>
  </si>
  <si>
    <t>77433</t>
  </si>
  <si>
    <t>(281) 555-6611</t>
  </si>
  <si>
    <t>Ruth</t>
  </si>
  <si>
    <t>Hayes</t>
  </si>
  <si>
    <t>224 Osage Street</t>
  </si>
  <si>
    <t>43607</t>
  </si>
  <si>
    <t>(419) 555-6646</t>
  </si>
  <si>
    <t>Stephen</t>
  </si>
  <si>
    <t>Duncan</t>
  </si>
  <si>
    <t>62 Oleander Street</t>
  </si>
  <si>
    <t>Brooklyn</t>
  </si>
  <si>
    <t>NY</t>
  </si>
  <si>
    <t>11236</t>
  </si>
  <si>
    <t>(718) 555-1583</t>
  </si>
  <si>
    <t>Jerry</t>
  </si>
  <si>
    <t>Amore</t>
  </si>
  <si>
    <t>243 Concord Court</t>
  </si>
  <si>
    <t>Sylvania</t>
  </si>
  <si>
    <t>43560</t>
  </si>
  <si>
    <t>(419) 555-1791</t>
  </si>
  <si>
    <t>Jimmerson</t>
  </si>
  <si>
    <t>947 Torrence Court</t>
  </si>
  <si>
    <t>(419) 555-3603</t>
  </si>
  <si>
    <t>Janice</t>
  </si>
  <si>
    <t>Estrada</t>
  </si>
  <si>
    <t>702 Houston Court</t>
  </si>
  <si>
    <t>(419) 555-1649</t>
  </si>
  <si>
    <t>Rodney</t>
  </si>
  <si>
    <t>Mera</t>
  </si>
  <si>
    <t>203 Natchez Street</t>
  </si>
  <si>
    <t>43604</t>
  </si>
  <si>
    <t>(419) 555-6364</t>
  </si>
  <si>
    <t>Joseph</t>
  </si>
  <si>
    <t>Lyman</t>
  </si>
  <si>
    <t>255 Oakenwald Street</t>
  </si>
  <si>
    <t>43623</t>
  </si>
  <si>
    <t>(419) 555-3837</t>
  </si>
  <si>
    <t>Vicki</t>
  </si>
  <si>
    <t>Heitmann</t>
  </si>
  <si>
    <t>74 Farrar Boulevard</t>
  </si>
  <si>
    <t>Searsboro</t>
  </si>
  <si>
    <t>IA</t>
  </si>
  <si>
    <t>50242</t>
  </si>
  <si>
    <t>(641) 555-7639</t>
  </si>
  <si>
    <t>Angel</t>
  </si>
  <si>
    <t>Flores</t>
  </si>
  <si>
    <t>108 Columbia Street</t>
  </si>
  <si>
    <t>(419) 555-1871</t>
  </si>
  <si>
    <t>Susana</t>
  </si>
  <si>
    <t>Green</t>
  </si>
  <si>
    <t>312 North College Street</t>
  </si>
  <si>
    <t xml:space="preserve">Santa Fe </t>
  </si>
  <si>
    <t>NM</t>
  </si>
  <si>
    <t>(505) 555-2285</t>
  </si>
  <si>
    <t>Heather</t>
  </si>
  <si>
    <t>Pagan</t>
  </si>
  <si>
    <t>361 Dover Avenue</t>
  </si>
  <si>
    <t>(419) 555-6241</t>
  </si>
  <si>
    <t>Vickie</t>
  </si>
  <si>
    <t>Gonzalez</t>
  </si>
  <si>
    <t>779 Nordica Street</t>
  </si>
  <si>
    <t>(419) 555-9049</t>
  </si>
  <si>
    <t>Patricia</t>
  </si>
  <si>
    <t>918 Corbett Way</t>
  </si>
  <si>
    <t>Maumee</t>
  </si>
  <si>
    <t>43537</t>
  </si>
  <si>
    <t>(419) 555-5548</t>
  </si>
  <si>
    <t>Chantel</t>
  </si>
  <si>
    <t>Stich</t>
  </si>
  <si>
    <t>570 Ellis Avenue</t>
  </si>
  <si>
    <t>Centralia</t>
  </si>
  <si>
    <t>IL</t>
  </si>
  <si>
    <t>62801</t>
  </si>
  <si>
    <t>(618) 555-2129</t>
  </si>
  <si>
    <t>Laurel</t>
  </si>
  <si>
    <t>Bobo</t>
  </si>
  <si>
    <t>994 Somerset Avenue</t>
  </si>
  <si>
    <t>Elgin</t>
  </si>
  <si>
    <t>60120</t>
  </si>
  <si>
    <t>(847) 555-5977</t>
  </si>
  <si>
    <t>Brenda</t>
  </si>
  <si>
    <t>Brown</t>
  </si>
  <si>
    <t>851 Hoey Court</t>
  </si>
  <si>
    <t>(419) 555-5047</t>
  </si>
  <si>
    <t>Marvin</t>
  </si>
  <si>
    <t>Mcelfresh</t>
  </si>
  <si>
    <t>797 St Clair Avenue</t>
  </si>
  <si>
    <t>(419) 555-9988</t>
  </si>
  <si>
    <t>Ronald</t>
  </si>
  <si>
    <t>Cummings</t>
  </si>
  <si>
    <t>975 Newland Street</t>
  </si>
  <si>
    <t>(419) 555-7292</t>
  </si>
  <si>
    <t>Corrine</t>
  </si>
  <si>
    <t>Hoppe</t>
  </si>
  <si>
    <t>567 Governors Avenue</t>
  </si>
  <si>
    <t>(419) 555-1105</t>
  </si>
  <si>
    <t>Riley</t>
  </si>
  <si>
    <t>Biggers</t>
  </si>
  <si>
    <t>663 South Indiana Way</t>
  </si>
  <si>
    <t>Delta</t>
  </si>
  <si>
    <t>43515</t>
  </si>
  <si>
    <t>(419) 555-9153</t>
  </si>
  <si>
    <t>Rose</t>
  </si>
  <si>
    <t>Paterson</t>
  </si>
  <si>
    <t>465 East Lavergne Boulevard</t>
  </si>
  <si>
    <t>Swanton</t>
  </si>
  <si>
    <t>43558</t>
  </si>
  <si>
    <t>(419) 555-8181</t>
  </si>
  <si>
    <t>Linda</t>
  </si>
  <si>
    <t>Willette</t>
  </si>
  <si>
    <t>106 Beverly Glen Street</t>
  </si>
  <si>
    <t>Vickery</t>
  </si>
  <si>
    <t>43464</t>
  </si>
  <si>
    <t>(419) 555-5351</t>
  </si>
  <si>
    <t>Ray</t>
  </si>
  <si>
    <t>Batts</t>
  </si>
  <si>
    <t>746 Reta Court</t>
  </si>
  <si>
    <t>(419) 555-3667</t>
  </si>
  <si>
    <t>Wesley</t>
  </si>
  <si>
    <t>Nanney</t>
  </si>
  <si>
    <t>882 Cortland Court</t>
  </si>
  <si>
    <t>(419) 555-9883</t>
  </si>
  <si>
    <t>Ralph</t>
  </si>
  <si>
    <t>Linsley</t>
  </si>
  <si>
    <t>564 Langley Avenue</t>
  </si>
  <si>
    <t>Salem</t>
  </si>
  <si>
    <t>OR</t>
  </si>
  <si>
    <t>97304</t>
  </si>
  <si>
    <t>(503) 555-5853</t>
  </si>
  <si>
    <t>Brandi</t>
  </si>
  <si>
    <t>979 West End Court</t>
  </si>
  <si>
    <t>(419) 555-4636</t>
  </si>
  <si>
    <t>Mark</t>
  </si>
  <si>
    <t>Blackman</t>
  </si>
  <si>
    <t>807 Palatine Boulevard</t>
  </si>
  <si>
    <t>(419) 555-2957</t>
  </si>
  <si>
    <t>Antonio</t>
  </si>
  <si>
    <t>Baker</t>
  </si>
  <si>
    <t>115 Hamil Avenue</t>
  </si>
  <si>
    <t>(419) 555-4622</t>
  </si>
  <si>
    <t>Groesbeck</t>
  </si>
  <si>
    <t>632 St Louis Way</t>
  </si>
  <si>
    <t>Holland</t>
  </si>
  <si>
    <t>43528</t>
  </si>
  <si>
    <t>(419) 555-7843</t>
  </si>
  <si>
    <t>Maurice</t>
  </si>
  <si>
    <t>Banks</t>
  </si>
  <si>
    <t>321 Stone Way</t>
  </si>
  <si>
    <t>(419) 555-5341</t>
  </si>
  <si>
    <t>Robertson</t>
  </si>
  <si>
    <t>795 Lowe Avenue</t>
  </si>
  <si>
    <t>43617</t>
  </si>
  <si>
    <t>(419) 555-3418</t>
  </si>
  <si>
    <t>Joel</t>
  </si>
  <si>
    <t>Carter</t>
  </si>
  <si>
    <t>905 Altgeld Avenue</t>
  </si>
  <si>
    <t>(419) 555-3404</t>
  </si>
  <si>
    <t>Jamie</t>
  </si>
  <si>
    <t>Grammer</t>
  </si>
  <si>
    <t>258 Kollman Street</t>
  </si>
  <si>
    <t>(419) 555-8719</t>
  </si>
  <si>
    <t>Eric</t>
  </si>
  <si>
    <t>Mcdonald</t>
  </si>
  <si>
    <t>719 Delphia Boulevard</t>
  </si>
  <si>
    <t>Walbridge</t>
  </si>
  <si>
    <t>43465</t>
  </si>
  <si>
    <t>(419) 555-2914</t>
  </si>
  <si>
    <t>Claudia</t>
  </si>
  <si>
    <t>Corona</t>
  </si>
  <si>
    <t>18 West Ann Lurie Lane</t>
  </si>
  <si>
    <t>43609</t>
  </si>
  <si>
    <t>(419) 555-9007</t>
  </si>
  <si>
    <t>Justin</t>
  </si>
  <si>
    <t>Lambert</t>
  </si>
  <si>
    <t>839 West Kennicott Avenue</t>
  </si>
  <si>
    <t>Hamtramck</t>
  </si>
  <si>
    <t>48212</t>
  </si>
  <si>
    <t>(313) 555-5228</t>
  </si>
  <si>
    <t>Houser</t>
  </si>
  <si>
    <t>280 South Mann Avenue</t>
  </si>
  <si>
    <t>(419) 555-5625</t>
  </si>
  <si>
    <t>Mike</t>
  </si>
  <si>
    <t>Robinson</t>
  </si>
  <si>
    <t>977 Logan Court</t>
  </si>
  <si>
    <t>(419) 555-3379</t>
  </si>
  <si>
    <t>Larry</t>
  </si>
  <si>
    <t>663 Wendell Street</t>
  </si>
  <si>
    <t>(419) 555-6644</t>
  </si>
  <si>
    <t>Kathy</t>
  </si>
  <si>
    <t>Hirsh</t>
  </si>
  <si>
    <t>741 Clyde Way</t>
  </si>
  <si>
    <t>(419) 555-4814</t>
  </si>
  <si>
    <t>Ellis</t>
  </si>
  <si>
    <t>Ross</t>
  </si>
  <si>
    <t>827 North Lambert Way</t>
  </si>
  <si>
    <t>(419) 555-1829</t>
  </si>
  <si>
    <t>Vivian</t>
  </si>
  <si>
    <t>673 Hermitage Court</t>
  </si>
  <si>
    <t>(419) 555-1786</t>
  </si>
  <si>
    <t>Donald</t>
  </si>
  <si>
    <t>Ham</t>
  </si>
  <si>
    <t>689 Larchmont Lane</t>
  </si>
  <si>
    <t>(419) 555-6754</t>
  </si>
  <si>
    <t>Gail</t>
  </si>
  <si>
    <t>Tannenbaum</t>
  </si>
  <si>
    <t>419 Jarlath Avenue</t>
  </si>
  <si>
    <t>(419) 555-3194</t>
  </si>
  <si>
    <t>Demetrius</t>
  </si>
  <si>
    <t>381 East Sawyer Avenue</t>
  </si>
  <si>
    <t>(419) 555-8407</t>
  </si>
  <si>
    <t>Nancy</t>
  </si>
  <si>
    <t>Vargas</t>
  </si>
  <si>
    <t>163 North Washington Street</t>
  </si>
  <si>
    <t>Detroit</t>
  </si>
  <si>
    <t>48207</t>
  </si>
  <si>
    <t>(313) 555-9582</t>
  </si>
  <si>
    <t>Matthew</t>
  </si>
  <si>
    <t>Pellegrin</t>
  </si>
  <si>
    <t>811 West Tripp Avenue</t>
  </si>
  <si>
    <t>Graytown</t>
  </si>
  <si>
    <t>43432</t>
  </si>
  <si>
    <t>(419) 555-4715</t>
  </si>
  <si>
    <t>Marna</t>
  </si>
  <si>
    <t>Krupp</t>
  </si>
  <si>
    <t>766 West Linden Avenue</t>
  </si>
  <si>
    <t>Martin</t>
  </si>
  <si>
    <t>43445</t>
  </si>
  <si>
    <t>(419) 555-8753</t>
  </si>
  <si>
    <t>Shrader</t>
  </si>
  <si>
    <t>173 Quincy Avenue</t>
  </si>
  <si>
    <t>48204</t>
  </si>
  <si>
    <t>(313) 555-2341</t>
  </si>
  <si>
    <t>Clarence</t>
  </si>
  <si>
    <t>Emery</t>
  </si>
  <si>
    <t>717 Bosak Boulevard</t>
  </si>
  <si>
    <t>South Ozone Park</t>
  </si>
  <si>
    <t>11420</t>
  </si>
  <si>
    <t>(718) 555-3836</t>
  </si>
  <si>
    <t>Douglas</t>
  </si>
  <si>
    <t>Bohr</t>
  </si>
  <si>
    <t>558 Liano Avenue</t>
  </si>
  <si>
    <t>Panama City</t>
  </si>
  <si>
    <t>FL</t>
  </si>
  <si>
    <t>32404</t>
  </si>
  <si>
    <t>(850) 555-3575</t>
  </si>
  <si>
    <t>Willie</t>
  </si>
  <si>
    <t>Musgrove</t>
  </si>
  <si>
    <t>997 Elmdale Avenue</t>
  </si>
  <si>
    <t>(419) 555-8327</t>
  </si>
  <si>
    <t>Lipford</t>
  </si>
  <si>
    <t>21 9th Boulevard</t>
  </si>
  <si>
    <t>48213</t>
  </si>
  <si>
    <t>(313) 555-2095</t>
  </si>
  <si>
    <t>Thomas</t>
  </si>
  <si>
    <t>Peabody</t>
  </si>
  <si>
    <t>835 Riverth Street</t>
  </si>
  <si>
    <t>Rossford</t>
  </si>
  <si>
    <t>43460</t>
  </si>
  <si>
    <t>(419) 555-9921</t>
  </si>
  <si>
    <t>Curtis</t>
  </si>
  <si>
    <t>Henson</t>
  </si>
  <si>
    <t>343 Mandell Avenue</t>
  </si>
  <si>
    <t>48228</t>
  </si>
  <si>
    <t>(313) 555-7128</t>
  </si>
  <si>
    <t>Donna</t>
  </si>
  <si>
    <t>Gordon</t>
  </si>
  <si>
    <t>363 Goleum Lane</t>
  </si>
  <si>
    <t>Mansfield</t>
  </si>
  <si>
    <t>44903</t>
  </si>
  <si>
    <t>(419) 555-6487</t>
  </si>
  <si>
    <t>Jack</t>
  </si>
  <si>
    <t>Yates</t>
  </si>
  <si>
    <t>119 Worbley Court</t>
  </si>
  <si>
    <t>(419) 555-2514</t>
  </si>
  <si>
    <t>Forest</t>
  </si>
  <si>
    <t>Salgado</t>
  </si>
  <si>
    <t>169 Marcey Boulevard</t>
  </si>
  <si>
    <t>Fremont</t>
  </si>
  <si>
    <t>43420</t>
  </si>
  <si>
    <t>(419) 555-7144</t>
  </si>
  <si>
    <t>Robert</t>
  </si>
  <si>
    <t>Rucker</t>
  </si>
  <si>
    <t>315 Menomonee Avenue</t>
  </si>
  <si>
    <t>43606</t>
  </si>
  <si>
    <t>(419) 555-8758</t>
  </si>
  <si>
    <t>Kathleen</t>
  </si>
  <si>
    <t>Lowry</t>
  </si>
  <si>
    <t>192 South Garston Street</t>
  </si>
  <si>
    <t>(419) 555-5581</t>
  </si>
  <si>
    <t>Sanford</t>
  </si>
  <si>
    <t>963 St Helen Street</t>
  </si>
  <si>
    <t>43610</t>
  </si>
  <si>
    <t>(419) 555-7185</t>
  </si>
  <si>
    <t>Brent</t>
  </si>
  <si>
    <t>Wilhelm</t>
  </si>
  <si>
    <t>207 West Kercheval Court</t>
  </si>
  <si>
    <t>(419) 555-5805</t>
  </si>
  <si>
    <t>Alan</t>
  </si>
  <si>
    <t>Mcgoldrick</t>
  </si>
  <si>
    <t>820 Higgs Boulevard</t>
  </si>
  <si>
    <t>Richland</t>
  </si>
  <si>
    <t>WA</t>
  </si>
  <si>
    <t>99352</t>
  </si>
  <si>
    <t>(509) 555-9145</t>
  </si>
  <si>
    <t>Jeremiah</t>
  </si>
  <si>
    <t>851 Summerdale Court</t>
  </si>
  <si>
    <t>Lincoln University</t>
  </si>
  <si>
    <t>PA</t>
  </si>
  <si>
    <t>19352</t>
  </si>
  <si>
    <t>(610) 555-4431</t>
  </si>
  <si>
    <t>Lowe</t>
  </si>
  <si>
    <t>68 Seminole Avenue</t>
  </si>
  <si>
    <t>(419) 555-5975</t>
  </si>
  <si>
    <t>Lois</t>
  </si>
  <si>
    <t>Harris</t>
  </si>
  <si>
    <t>743 Allport Street</t>
  </si>
  <si>
    <t>(419) 555-6668</t>
  </si>
  <si>
    <t>Philip</t>
  </si>
  <si>
    <t>Kimball</t>
  </si>
  <si>
    <t>726 Gale Street</t>
  </si>
  <si>
    <t>(419) 555-8813</t>
  </si>
  <si>
    <t>Janet</t>
  </si>
  <si>
    <t>Ely</t>
  </si>
  <si>
    <t>480 Hogland Avenue</t>
  </si>
  <si>
    <t>Petersburg</t>
  </si>
  <si>
    <t>49270</t>
  </si>
  <si>
    <t>(734) 555-8251</t>
  </si>
  <si>
    <t>Andrew</t>
  </si>
  <si>
    <t>Stier</t>
  </si>
  <si>
    <t>755 Garfield Street</t>
  </si>
  <si>
    <t>Perrysburg</t>
  </si>
  <si>
    <t>43551</t>
  </si>
  <si>
    <t>(419) 555-6104</t>
  </si>
  <si>
    <t>Akridge</t>
  </si>
  <si>
    <t>54 North Hollman Avenue</t>
  </si>
  <si>
    <t>Lawrenceville</t>
  </si>
  <si>
    <t>GA</t>
  </si>
  <si>
    <t>30043</t>
  </si>
  <si>
    <t>(770) 555-2991</t>
  </si>
  <si>
    <t>Hattie</t>
  </si>
  <si>
    <t>Hammond</t>
  </si>
  <si>
    <t>596 Cottage Street</t>
  </si>
  <si>
    <t>(419) 555-8983</t>
  </si>
  <si>
    <t>Bradford</t>
  </si>
  <si>
    <t>349 Thatcher Lane</t>
  </si>
  <si>
    <t>(419) 555-9704</t>
  </si>
  <si>
    <t>Bartos</t>
  </si>
  <si>
    <t>153 Rush Street</t>
  </si>
  <si>
    <t>(419) 555-7956</t>
  </si>
  <si>
    <t>Jeff</t>
  </si>
  <si>
    <t>Epperson</t>
  </si>
  <si>
    <t>135 Riverdale Street</t>
  </si>
  <si>
    <t>Philadelphia</t>
  </si>
  <si>
    <t>19148</t>
  </si>
  <si>
    <t>(215) 555-5317</t>
  </si>
  <si>
    <t>Judith</t>
  </si>
  <si>
    <t>Love</t>
  </si>
  <si>
    <t>122 Fairfield Avenue</t>
  </si>
  <si>
    <t>(419) 555-5718</t>
  </si>
  <si>
    <t>Jeffrey</t>
  </si>
  <si>
    <t>Royster</t>
  </si>
  <si>
    <t>672 Fairhope Lane</t>
  </si>
  <si>
    <t>(419) 555-2424</t>
  </si>
  <si>
    <t>Sholes</t>
  </si>
  <si>
    <t>274 Lorel Avenue</t>
  </si>
  <si>
    <t>Livonia</t>
  </si>
  <si>
    <t>48152</t>
  </si>
  <si>
    <t>(734) 555-6886</t>
  </si>
  <si>
    <t>Robin</t>
  </si>
  <si>
    <t>Orourke</t>
  </si>
  <si>
    <t>86 Worton Lane</t>
  </si>
  <si>
    <t>Chicago</t>
  </si>
  <si>
    <t>60618</t>
  </si>
  <si>
    <t>(773) 555-6213</t>
  </si>
  <si>
    <t>Juanita</t>
  </si>
  <si>
    <t>Hurst</t>
  </si>
  <si>
    <t>597 Wallen Street</t>
  </si>
  <si>
    <t>Bradner</t>
  </si>
  <si>
    <t>43406</t>
  </si>
  <si>
    <t>(419) 555-3248</t>
  </si>
  <si>
    <t>Stevie</t>
  </si>
  <si>
    <t>Summerlin</t>
  </si>
  <si>
    <t>415 Lake Shore Court</t>
  </si>
  <si>
    <t>48227</t>
  </si>
  <si>
    <t>(313) 555-8754</t>
  </si>
  <si>
    <t>Margaret</t>
  </si>
  <si>
    <t>Ramey</t>
  </si>
  <si>
    <t>442 North St Michaels Street</t>
  </si>
  <si>
    <t>Port Gibson</t>
  </si>
  <si>
    <t>MS</t>
  </si>
  <si>
    <t>39150</t>
  </si>
  <si>
    <t>(601) 555-1407</t>
  </si>
  <si>
    <t>Chad</t>
  </si>
  <si>
    <t>Gifford</t>
  </si>
  <si>
    <t>998 Cottage Boulevard</t>
  </si>
  <si>
    <t>(419) 555-7833</t>
  </si>
  <si>
    <t>Francis</t>
  </si>
  <si>
    <t>Farrington</t>
  </si>
  <si>
    <t>592 Christa Street</t>
  </si>
  <si>
    <t>(419) 555-8085</t>
  </si>
  <si>
    <t>Moseley</t>
  </si>
  <si>
    <t>803 Hutchinson Street</t>
  </si>
  <si>
    <t>(419) 555-7835</t>
  </si>
  <si>
    <t>Boyd</t>
  </si>
  <si>
    <t>390 River Court</t>
  </si>
  <si>
    <t>(419) 555-6615</t>
  </si>
  <si>
    <t>Olevia</t>
  </si>
  <si>
    <t>Delariva</t>
  </si>
  <si>
    <t>841 Cleveland Avenue</t>
  </si>
  <si>
    <t>(419) 555-3945</t>
  </si>
  <si>
    <t>Tyler</t>
  </si>
  <si>
    <t>803 Quincy Avenue</t>
  </si>
  <si>
    <t>(419) 555-4686</t>
  </si>
  <si>
    <t>Thompson</t>
  </si>
  <si>
    <t>36 South Fuller Court</t>
  </si>
  <si>
    <t>(419) 555-3258</t>
  </si>
  <si>
    <t>Wayne</t>
  </si>
  <si>
    <t>Pacheco</t>
  </si>
  <si>
    <t>604 Minnie Avenue</t>
  </si>
  <si>
    <t>(419) 555-1968</t>
  </si>
  <si>
    <t>Hafer</t>
  </si>
  <si>
    <t>125 Douglas Avenue</t>
  </si>
  <si>
    <t>(419) 555-2762</t>
  </si>
  <si>
    <t>Derek</t>
  </si>
  <si>
    <t>Nakashima</t>
  </si>
  <si>
    <t>212 Garfield Avenue</t>
  </si>
  <si>
    <t>(419) 555-2838</t>
  </si>
  <si>
    <t>Tanya</t>
  </si>
  <si>
    <t>Mund</t>
  </si>
  <si>
    <t>289 North Dauphin Avenue</t>
  </si>
  <si>
    <t>(419) 555-3341</t>
  </si>
  <si>
    <t>Horace</t>
  </si>
  <si>
    <t>Mueller</t>
  </si>
  <si>
    <t>276 Woodland Street</t>
  </si>
  <si>
    <t>(419) 555-3198</t>
  </si>
  <si>
    <t>Emmanuel</t>
  </si>
  <si>
    <t>Shaw</t>
  </si>
  <si>
    <t>189 West Arbour Court</t>
  </si>
  <si>
    <t>(419) 555-2467</t>
  </si>
  <si>
    <t>Helen</t>
  </si>
  <si>
    <t>57 Englewood Court</t>
  </si>
  <si>
    <t>(419) 555-7554</t>
  </si>
  <si>
    <t>Soltero</t>
  </si>
  <si>
    <t>945 East Oakview Street</t>
  </si>
  <si>
    <t>(419) 555-4768</t>
  </si>
  <si>
    <t>Espino</t>
  </si>
  <si>
    <t>885 Superior Court</t>
  </si>
  <si>
    <t>(419) 555-9715</t>
  </si>
  <si>
    <t>Nydia</t>
  </si>
  <si>
    <t>Barton</t>
  </si>
  <si>
    <t>465 Fry Street</t>
  </si>
  <si>
    <t>(419) 555-2562</t>
  </si>
  <si>
    <t>Torres</t>
  </si>
  <si>
    <t>452 West Maclain Street</t>
  </si>
  <si>
    <t>San Antonio</t>
  </si>
  <si>
    <t>78230</t>
  </si>
  <si>
    <t>(210) 555-1081</t>
  </si>
  <si>
    <t>Renee</t>
  </si>
  <si>
    <t>Cox</t>
  </si>
  <si>
    <t>416 South Thomas Street</t>
  </si>
  <si>
    <t>(419) 555-6651</t>
  </si>
  <si>
    <t>Rachelle</t>
  </si>
  <si>
    <t>Sutton</t>
  </si>
  <si>
    <t>913 Kreiter Street</t>
  </si>
  <si>
    <t>(419) 555-7763</t>
  </si>
  <si>
    <t>Leandra</t>
  </si>
  <si>
    <t>Odonnell</t>
  </si>
  <si>
    <t>489 Bishop Street</t>
  </si>
  <si>
    <t>48219</t>
  </si>
  <si>
    <t>(313) 555-8804</t>
  </si>
  <si>
    <t>Koffler</t>
  </si>
  <si>
    <t>320 Noble Street</t>
  </si>
  <si>
    <t>(419) 555-2612</t>
  </si>
  <si>
    <t>Albert</t>
  </si>
  <si>
    <t>Jeffers</t>
  </si>
  <si>
    <t>779 Calumet Street</t>
  </si>
  <si>
    <t>Waterville</t>
  </si>
  <si>
    <t>43566</t>
  </si>
  <si>
    <t>(419) 555-4318</t>
  </si>
  <si>
    <t>Samuel</t>
  </si>
  <si>
    <t>Wilson</t>
  </si>
  <si>
    <t>446 Wolcott Avenue</t>
  </si>
  <si>
    <t>48210</t>
  </si>
  <si>
    <t>(313) 555-9305</t>
  </si>
  <si>
    <t>Minerva</t>
  </si>
  <si>
    <t>Tang</t>
  </si>
  <si>
    <t>540 Keating Avenue</t>
  </si>
  <si>
    <t>(419) 555-5601</t>
  </si>
  <si>
    <t>Richard</t>
  </si>
  <si>
    <t>Locke</t>
  </si>
  <si>
    <t>427 Burnside Street</t>
  </si>
  <si>
    <t>(419) 555-4798</t>
  </si>
  <si>
    <t>Billings</t>
  </si>
  <si>
    <t>485 Nagle Lane</t>
  </si>
  <si>
    <t>(419) 555-6128</t>
  </si>
  <si>
    <t>Dorothy</t>
  </si>
  <si>
    <t>Hansen</t>
  </si>
  <si>
    <t>610 East Avondale Lane</t>
  </si>
  <si>
    <t>(419) 555-7367</t>
  </si>
  <si>
    <t>Nay</t>
  </si>
  <si>
    <t>563 Sioux Street</t>
  </si>
  <si>
    <t>Brian</t>
  </si>
  <si>
    <t>Mintz</t>
  </si>
  <si>
    <t>204 North Lockwood Way</t>
  </si>
  <si>
    <t>(419) 555-3078</t>
  </si>
  <si>
    <t>Paula</t>
  </si>
  <si>
    <t>Clark</t>
  </si>
  <si>
    <t>375 Roosevelt Boulevard</t>
  </si>
  <si>
    <t>(419) 555-4684</t>
  </si>
  <si>
    <t>Coker</t>
  </si>
  <si>
    <t>427 Elizabeth Way</t>
  </si>
  <si>
    <t>(419) 555-6543</t>
  </si>
  <si>
    <t>Dianne</t>
  </si>
  <si>
    <t>444 Linder Lane</t>
  </si>
  <si>
    <t>(419) 555-4887</t>
  </si>
  <si>
    <t>Ryan</t>
  </si>
  <si>
    <t>Smith</t>
  </si>
  <si>
    <t>610 Church Street</t>
  </si>
  <si>
    <t>(419) 555-1211</t>
  </si>
  <si>
    <t>Ducote</t>
  </si>
  <si>
    <t>572 Baltimore Street</t>
  </si>
  <si>
    <t>Charlestown</t>
  </si>
  <si>
    <t>MA</t>
  </si>
  <si>
    <t>02129</t>
  </si>
  <si>
    <t>(617) 555-9282</t>
  </si>
  <si>
    <t>Lowell</t>
  </si>
  <si>
    <t>Cook</t>
  </si>
  <si>
    <t>98 South Oakley Avenue</t>
  </si>
  <si>
    <t>(419) 555-6815</t>
  </si>
  <si>
    <t>Michelle</t>
  </si>
  <si>
    <t>Brandt</t>
  </si>
  <si>
    <t>524 Shore Avenue</t>
  </si>
  <si>
    <t>(419) 555-6965</t>
  </si>
  <si>
    <t>Gregory</t>
  </si>
  <si>
    <t>Joe</t>
  </si>
  <si>
    <t>435 Roosevelt Avenue</t>
  </si>
  <si>
    <t>(419) 555-7196</t>
  </si>
  <si>
    <t>Bosley</t>
  </si>
  <si>
    <t>690 Keeley Street</t>
  </si>
  <si>
    <t>La Grande</t>
  </si>
  <si>
    <t>97850</t>
  </si>
  <si>
    <t>(541) 555-8525</t>
  </si>
  <si>
    <t>Miriam</t>
  </si>
  <si>
    <t>Blaine</t>
  </si>
  <si>
    <t>487 Washington Court</t>
  </si>
  <si>
    <t>Sardinia</t>
  </si>
  <si>
    <t>45171</t>
  </si>
  <si>
    <t>(937) 555-4544</t>
  </si>
  <si>
    <t>Ramirez</t>
  </si>
  <si>
    <t>296 Richland Way</t>
  </si>
  <si>
    <t>Los Angeles</t>
  </si>
  <si>
    <t>CA</t>
  </si>
  <si>
    <t>90066</t>
  </si>
  <si>
    <t>(310) 555-8069</t>
  </si>
  <si>
    <t>John</t>
  </si>
  <si>
    <t>Macdonald</t>
  </si>
  <si>
    <t>738 North Karlov Avenue</t>
  </si>
  <si>
    <t>Port Clinton</t>
  </si>
  <si>
    <t>43452</t>
  </si>
  <si>
    <t>(419) 555-1279</t>
  </si>
  <si>
    <t>Monica</t>
  </si>
  <si>
    <t>Fields</t>
  </si>
  <si>
    <t>536 Manton Avenue</t>
  </si>
  <si>
    <t>(419) 555-3721</t>
  </si>
  <si>
    <t>Lee</t>
  </si>
  <si>
    <t>994 Major Avenue</t>
  </si>
  <si>
    <t>(419) 555-2564</t>
  </si>
  <si>
    <t>Luciana</t>
  </si>
  <si>
    <t>466 South Ontario Avenue</t>
  </si>
  <si>
    <t>(419) 555-2812</t>
  </si>
  <si>
    <t>Fletcher</t>
  </si>
  <si>
    <t>341 South Woodward Avenue</t>
  </si>
  <si>
    <t>Hollywood</t>
  </si>
  <si>
    <t>33025</t>
  </si>
  <si>
    <t>(954) 555-8501</t>
  </si>
  <si>
    <t>Short</t>
  </si>
  <si>
    <t>461 Agatite Way</t>
  </si>
  <si>
    <t>48126</t>
  </si>
  <si>
    <t>(313) 555-5435</t>
  </si>
  <si>
    <t>Irene</t>
  </si>
  <si>
    <t>Shoemaker</t>
  </si>
  <si>
    <t>261 Lake Park Street</t>
  </si>
  <si>
    <t>(734) 555-7499</t>
  </si>
  <si>
    <t>Adams</t>
  </si>
  <si>
    <t>29 Recreation Avenue</t>
  </si>
  <si>
    <t>(419) 555-7371</t>
  </si>
  <si>
    <t>Corey</t>
  </si>
  <si>
    <t>Pederson</t>
  </si>
  <si>
    <t>638 Longmeadow Avenue</t>
  </si>
  <si>
    <t>(419) 555-3079</t>
  </si>
  <si>
    <t>Clinton</t>
  </si>
  <si>
    <t>147 North Chester Avenue</t>
  </si>
  <si>
    <t>77063</t>
  </si>
  <si>
    <t>(713) 555-8679</t>
  </si>
  <si>
    <t>Carr</t>
  </si>
  <si>
    <t>893 La Crosse Street</t>
  </si>
  <si>
    <t>(419) 555-3906</t>
  </si>
  <si>
    <t>Parrish</t>
  </si>
  <si>
    <t>157 Mac Chesney Boulevard</t>
  </si>
  <si>
    <t>(419) 555-7442</t>
  </si>
  <si>
    <t>Pearl</t>
  </si>
  <si>
    <t>238 East Winona Avenue</t>
  </si>
  <si>
    <t>(419) 555-7141</t>
  </si>
  <si>
    <t>Ashley</t>
  </si>
  <si>
    <t>Richman</t>
  </si>
  <si>
    <t>472 Manor Boulevard</t>
  </si>
  <si>
    <t>(419) 555-2149</t>
  </si>
  <si>
    <t>Sharon</t>
  </si>
  <si>
    <t>Romero</t>
  </si>
  <si>
    <t>233 Nickerson Street</t>
  </si>
  <si>
    <t>(419) 555-1482</t>
  </si>
  <si>
    <t>Edward</t>
  </si>
  <si>
    <t>382 Gilbert Street</t>
  </si>
  <si>
    <t>Helena</t>
  </si>
  <si>
    <t>43435</t>
  </si>
  <si>
    <t>(419) 555-8345</t>
  </si>
  <si>
    <t>Barbara</t>
  </si>
  <si>
    <t>Shults</t>
  </si>
  <si>
    <t>48 Peoria Avenue</t>
  </si>
  <si>
    <t>(419) 555-8011</t>
  </si>
  <si>
    <t>Alvin</t>
  </si>
  <si>
    <t>Rodgers</t>
  </si>
  <si>
    <t>694 West Brompton Street</t>
  </si>
  <si>
    <t>(313) 555-8921</t>
  </si>
  <si>
    <t>Bennett</t>
  </si>
  <si>
    <t>519 Avondale Avenue</t>
  </si>
  <si>
    <t>(419) 555-5405</t>
  </si>
  <si>
    <t>Craig</t>
  </si>
  <si>
    <t>Gomes</t>
  </si>
  <si>
    <t>384 South Merrimac Way</t>
  </si>
  <si>
    <t>(419) 555-8243</t>
  </si>
  <si>
    <t>Anna</t>
  </si>
  <si>
    <t>Sellers</t>
  </si>
  <si>
    <t>143 North Calumet Avenue</t>
  </si>
  <si>
    <t>Valdosta</t>
  </si>
  <si>
    <t>31602</t>
  </si>
  <si>
    <t>(229) 555-2148</t>
  </si>
  <si>
    <t>Mutter</t>
  </si>
  <si>
    <t>307 West Hayford Street</t>
  </si>
  <si>
    <t>(419) 555-6648</t>
  </si>
  <si>
    <t>Bobby</t>
  </si>
  <si>
    <t>Hill</t>
  </si>
  <si>
    <t>957 North Norway Lane</t>
  </si>
  <si>
    <t>(419) 555-1373</t>
  </si>
  <si>
    <t>Glenda</t>
  </si>
  <si>
    <t>Rodriquez</t>
  </si>
  <si>
    <t>65 West Bay Boulevard</t>
  </si>
  <si>
    <t>(419) 555-2902</t>
  </si>
  <si>
    <t>Sarah</t>
  </si>
  <si>
    <t>Goodman</t>
  </si>
  <si>
    <t>438 Seipp Street</t>
  </si>
  <si>
    <t>(419) 555-2905</t>
  </si>
  <si>
    <t>Nathan</t>
  </si>
  <si>
    <t>Aguirre</t>
  </si>
  <si>
    <t>515 North Wilson Street</t>
  </si>
  <si>
    <t>Birmingham</t>
  </si>
  <si>
    <t>AL</t>
  </si>
  <si>
    <t>35215</t>
  </si>
  <si>
    <t>(205) 555-4313</t>
  </si>
  <si>
    <t>Steven</t>
  </si>
  <si>
    <t>Lapointe</t>
  </si>
  <si>
    <t>881 Argyle Lane</t>
  </si>
  <si>
    <t>(419) 555-9198</t>
  </si>
  <si>
    <t>Ricardo</t>
  </si>
  <si>
    <t>Everett</t>
  </si>
  <si>
    <t>891 Lill Court</t>
  </si>
  <si>
    <t>El Cajon</t>
  </si>
  <si>
    <t>92020</t>
  </si>
  <si>
    <t>(619) 555-6795</t>
  </si>
  <si>
    <t>Lindsay</t>
  </si>
  <si>
    <t>597 Schiller Street</t>
  </si>
  <si>
    <t>(419) 555-6924</t>
  </si>
  <si>
    <t>Laughlin</t>
  </si>
  <si>
    <t>264 Wildwood Avenue</t>
  </si>
  <si>
    <t>(419) 555-4811</t>
  </si>
  <si>
    <t>Elaine</t>
  </si>
  <si>
    <t>Cunningham</t>
  </si>
  <si>
    <t>575 Racine Boulevard</t>
  </si>
  <si>
    <t>(419) 555-3645</t>
  </si>
  <si>
    <t>Benjamin</t>
  </si>
  <si>
    <t>Bartel</t>
  </si>
  <si>
    <t>85 East Delong Street</t>
  </si>
  <si>
    <t>Allen Park</t>
  </si>
  <si>
    <t>48101</t>
  </si>
  <si>
    <t>(313) 555-4754</t>
  </si>
  <si>
    <t>Long</t>
  </si>
  <si>
    <t>208 Prospect Street</t>
  </si>
  <si>
    <t>(419) 555-6455</t>
  </si>
  <si>
    <t>Naomi</t>
  </si>
  <si>
    <t>Knott</t>
  </si>
  <si>
    <t>652 Odell Lane</t>
  </si>
  <si>
    <t>(419) 555-3858</t>
  </si>
  <si>
    <t>Ervin</t>
  </si>
  <si>
    <t>Woodham</t>
  </si>
  <si>
    <t>133 Beaubien Street</t>
  </si>
  <si>
    <t>(419) 555-3687</t>
  </si>
  <si>
    <t>Frank</t>
  </si>
  <si>
    <t>933 River Street</t>
  </si>
  <si>
    <t>Wildomar</t>
  </si>
  <si>
    <t>92595</t>
  </si>
  <si>
    <t>(909) 555-7405</t>
  </si>
  <si>
    <t>Peters</t>
  </si>
  <si>
    <t>304 Wable Street</t>
  </si>
  <si>
    <t>Waco</t>
  </si>
  <si>
    <t>76710</t>
  </si>
  <si>
    <t>(254) 555-8042</t>
  </si>
  <si>
    <t>Mcmillan</t>
  </si>
  <si>
    <t>992 Lakewood Court</t>
  </si>
  <si>
    <t>Millbury</t>
  </si>
  <si>
    <t>43447</t>
  </si>
  <si>
    <t>(419) 555-5816</t>
  </si>
  <si>
    <t>Rebecca</t>
  </si>
  <si>
    <t>Marshall</t>
  </si>
  <si>
    <t>404 Locust Boulevard</t>
  </si>
  <si>
    <t>(419) 555-7795</t>
  </si>
  <si>
    <t>Cleveland</t>
  </si>
  <si>
    <t>931 West Haddon Street</t>
  </si>
  <si>
    <t>(313) 555-1175</t>
  </si>
  <si>
    <t>Lovelady</t>
  </si>
  <si>
    <t>15 Tom Street</t>
  </si>
  <si>
    <t>(419) 555-7857</t>
  </si>
  <si>
    <t>Bessie</t>
  </si>
  <si>
    <t>Hoffman</t>
  </si>
  <si>
    <t>360 East Chestnut Avenue</t>
  </si>
  <si>
    <t>(419) 555-4728</t>
  </si>
  <si>
    <t>Michael</t>
  </si>
  <si>
    <t>Mayo</t>
  </si>
  <si>
    <t>681 Baltimore Street</t>
  </si>
  <si>
    <t>(419) 555-3096</t>
  </si>
  <si>
    <t>Christopher</t>
  </si>
  <si>
    <t>Kurt</t>
  </si>
  <si>
    <t>132 North Greenview Lane</t>
  </si>
  <si>
    <t>(419) 555-8696</t>
  </si>
  <si>
    <t>Rivera</t>
  </si>
  <si>
    <t>710 Mccormick Place Avenue</t>
  </si>
  <si>
    <t>Montebello</t>
  </si>
  <si>
    <t>90640</t>
  </si>
  <si>
    <t>(323) 555-6343</t>
  </si>
  <si>
    <t>Lore</t>
  </si>
  <si>
    <t>Tucker</t>
  </si>
  <si>
    <t>182 West Greenleaf Street</t>
  </si>
  <si>
    <t>(419) 555-5605</t>
  </si>
  <si>
    <t>Doris</t>
  </si>
  <si>
    <t>Garcia</t>
  </si>
  <si>
    <t>942 Baker Avenue</t>
  </si>
  <si>
    <t>York</t>
  </si>
  <si>
    <t>17404</t>
  </si>
  <si>
    <t>(717) 555-5942</t>
  </si>
  <si>
    <t>Angie</t>
  </si>
  <si>
    <t>Parker</t>
  </si>
  <si>
    <t>576 Winona Court</t>
  </si>
  <si>
    <t>(419) 555-4546</t>
  </si>
  <si>
    <t>Audrey</t>
  </si>
  <si>
    <t>Keener</t>
  </si>
  <si>
    <t>653 South Germania Boulevard</t>
  </si>
  <si>
    <t>(419) 555-9602</t>
  </si>
  <si>
    <t>Penny</t>
  </si>
  <si>
    <t>Ferguson</t>
  </si>
  <si>
    <t>218 East Minnie Way</t>
  </si>
  <si>
    <t>(419) 555-4359</t>
  </si>
  <si>
    <t>Ernestine</t>
  </si>
  <si>
    <t>Collins</t>
  </si>
  <si>
    <t>791 West Coast Court</t>
  </si>
  <si>
    <t>(419) 555-4076</t>
  </si>
  <si>
    <t>Randall</t>
  </si>
  <si>
    <t>Shelton</t>
  </si>
  <si>
    <t>526 Haines Way</t>
  </si>
  <si>
    <t>Dearborn Heights</t>
  </si>
  <si>
    <t>48127</t>
  </si>
  <si>
    <t>(313) 555-2812</t>
  </si>
  <si>
    <t>Todd</t>
  </si>
  <si>
    <t>Radtke</t>
  </si>
  <si>
    <t>273 Crandon Court</t>
  </si>
  <si>
    <t>Garden City</t>
  </si>
  <si>
    <t>48135</t>
  </si>
  <si>
    <t>(734) 555-3526</t>
  </si>
  <si>
    <t>Jones</t>
  </si>
  <si>
    <t>148 Kenta Street</t>
  </si>
  <si>
    <t>(419) 555-4494</t>
  </si>
  <si>
    <t>Jose</t>
  </si>
  <si>
    <t>Wright</t>
  </si>
  <si>
    <t>880 5th Lane</t>
  </si>
  <si>
    <t>(419) 555-3627</t>
  </si>
  <si>
    <t>Olson</t>
  </si>
  <si>
    <t>568 Winchester Way</t>
  </si>
  <si>
    <t>(419) 555-8524</t>
  </si>
  <si>
    <t>Rita</t>
  </si>
  <si>
    <t>Russell</t>
  </si>
  <si>
    <t>892 Lenox Avenue</t>
  </si>
  <si>
    <t>(419) 555-1937</t>
  </si>
  <si>
    <t>Ali</t>
  </si>
  <si>
    <t>Rankin</t>
  </si>
  <si>
    <t>629 East Bishop Street</t>
  </si>
  <si>
    <t>Naples</t>
  </si>
  <si>
    <t>34109</t>
  </si>
  <si>
    <t>(941) 555-3884</t>
  </si>
  <si>
    <t>Batey</t>
  </si>
  <si>
    <t>617 Quincy Lane</t>
  </si>
  <si>
    <t>Hemingway</t>
  </si>
  <si>
    <t>SC</t>
  </si>
  <si>
    <t>29554</t>
  </si>
  <si>
    <t>(843) 555-3442</t>
  </si>
  <si>
    <t>Lisa</t>
  </si>
  <si>
    <t>Whetstone</t>
  </si>
  <si>
    <t>958 Ohio Street</t>
  </si>
  <si>
    <t>(419) 555-1836</t>
  </si>
  <si>
    <t>Anthony</t>
  </si>
  <si>
    <t>863 Ohare Street</t>
  </si>
  <si>
    <t>Lincoln Park</t>
  </si>
  <si>
    <t>48146</t>
  </si>
  <si>
    <t>(313) 555-7225</t>
  </si>
  <si>
    <t>Edgar</t>
  </si>
  <si>
    <t>603 West Liberty Court</t>
  </si>
  <si>
    <t>(419) 555-1308</t>
  </si>
  <si>
    <t>Monique</t>
  </si>
  <si>
    <t>281 Brodman Street</t>
  </si>
  <si>
    <t>(419) 555-4666</t>
  </si>
  <si>
    <t>Wendy</t>
  </si>
  <si>
    <t>Avalos</t>
  </si>
  <si>
    <t>792 Watkins Street</t>
  </si>
  <si>
    <t>(734) 555-8081</t>
  </si>
  <si>
    <t>Yang</t>
  </si>
  <si>
    <t>235 Delta Avenue</t>
  </si>
  <si>
    <t>(419) 555-7137</t>
  </si>
  <si>
    <t>Gonzales</t>
  </si>
  <si>
    <t>453 East Gresham Street</t>
  </si>
  <si>
    <t>(419) 555-5697</t>
  </si>
  <si>
    <t>Kent</t>
  </si>
  <si>
    <t>Speed</t>
  </si>
  <si>
    <t>941 North Bell Street</t>
  </si>
  <si>
    <t>(419) 555-9614</t>
  </si>
  <si>
    <t>Evans</t>
  </si>
  <si>
    <t>50 Bowen Street</t>
  </si>
  <si>
    <t>48202</t>
  </si>
  <si>
    <t>(313) 555-5985</t>
  </si>
  <si>
    <t>Stuck</t>
  </si>
  <si>
    <t>816 Haussen Avenue</t>
  </si>
  <si>
    <t>(419) 555-6146</t>
  </si>
  <si>
    <t>Burdine</t>
  </si>
  <si>
    <t>948 South Riverside Avenue</t>
  </si>
  <si>
    <t>(419) 555-7909</t>
  </si>
  <si>
    <t>Kathryn</t>
  </si>
  <si>
    <t>416 Lovejoy Court</t>
  </si>
  <si>
    <t>(419) 555-8786</t>
  </si>
  <si>
    <t>Leonard</t>
  </si>
  <si>
    <t>Spates</t>
  </si>
  <si>
    <t>372 Addison Avenue</t>
  </si>
  <si>
    <t>(419) 555-9893</t>
  </si>
  <si>
    <t>Landers</t>
  </si>
  <si>
    <t>493 West Redwood Way</t>
  </si>
  <si>
    <t>(419) 555-4305</t>
  </si>
  <si>
    <t>Bertha</t>
  </si>
  <si>
    <t>Fontenot</t>
  </si>
  <si>
    <t>734 South Latrobe Lane</t>
  </si>
  <si>
    <t>Penn Yan</t>
  </si>
  <si>
    <t>14527</t>
  </si>
  <si>
    <t>(315) 555-7069</t>
  </si>
  <si>
    <t>Kraig</t>
  </si>
  <si>
    <t>Dyer</t>
  </si>
  <si>
    <t>121 Francis Avenue</t>
  </si>
  <si>
    <t>(419) 555-3102</t>
  </si>
  <si>
    <t>Jason</t>
  </si>
  <si>
    <t>918 Escanaba Avenue</t>
  </si>
  <si>
    <t>(419) 555-5883</t>
  </si>
  <si>
    <t>Charles</t>
  </si>
  <si>
    <t>Huff</t>
  </si>
  <si>
    <t>948 Kinzie Avenue</t>
  </si>
  <si>
    <t>(419) 555-9729</t>
  </si>
  <si>
    <t>Jimmy</t>
  </si>
  <si>
    <t>Bandy</t>
  </si>
  <si>
    <t>199 Monroe Way</t>
  </si>
  <si>
    <t>Fairfield</t>
  </si>
  <si>
    <t>CT</t>
  </si>
  <si>
    <t>06824</t>
  </si>
  <si>
    <t>(203) 555-8553</t>
  </si>
  <si>
    <t>Alissa</t>
  </si>
  <si>
    <t>Lucas</t>
  </si>
  <si>
    <t>176 Owen Street</t>
  </si>
  <si>
    <t>(419) 555-3864</t>
  </si>
  <si>
    <t>Stephanie</t>
  </si>
  <si>
    <t>Maloney</t>
  </si>
  <si>
    <t>24 Eberhart Way</t>
  </si>
  <si>
    <t>(419) 555-1437</t>
  </si>
  <si>
    <t>Cathy</t>
  </si>
  <si>
    <t>Burnette</t>
  </si>
  <si>
    <t>978 East Ohare Boulevard</t>
  </si>
  <si>
    <t>(419) 555-3852</t>
  </si>
  <si>
    <t>Rader</t>
  </si>
  <si>
    <t>702 Whimley Avenue</t>
  </si>
  <si>
    <t>(419) 555-1654</t>
  </si>
  <si>
    <t>Barnett</t>
  </si>
  <si>
    <t>458 West Lehigh Avenue</t>
  </si>
  <si>
    <t>(419) 555-1796</t>
  </si>
  <si>
    <t>Yolanda</t>
  </si>
  <si>
    <t>Tapia</t>
  </si>
  <si>
    <t>138 East Leamington Street</t>
  </si>
  <si>
    <t>(419) 555-2471</t>
  </si>
  <si>
    <t>Mckenzie</t>
  </si>
  <si>
    <t>666 North Seeley Court</t>
  </si>
  <si>
    <t>(419) 555-5907</t>
  </si>
  <si>
    <t>Ann</t>
  </si>
  <si>
    <t>Andrews</t>
  </si>
  <si>
    <t>978 Martin Street</t>
  </si>
  <si>
    <t>(419) 555-4833</t>
  </si>
  <si>
    <t>Virgie</t>
  </si>
  <si>
    <t>Greene</t>
  </si>
  <si>
    <t>889 Gate Avenue</t>
  </si>
  <si>
    <t>(419) 555-3543</t>
  </si>
  <si>
    <t>Garret</t>
  </si>
  <si>
    <t>Beaver</t>
  </si>
  <si>
    <t>731 North Stewart Lane</t>
  </si>
  <si>
    <t>(419) 555-2686</t>
  </si>
  <si>
    <t>Faris</t>
  </si>
  <si>
    <t>367 Lake Shore Court</t>
  </si>
  <si>
    <t>(419) 555-5737</t>
  </si>
  <si>
    <t>Vincent</t>
  </si>
  <si>
    <t>683 North Potomac Avenue</t>
  </si>
  <si>
    <t>Northwood</t>
  </si>
  <si>
    <t>43619</t>
  </si>
  <si>
    <t>(419) 555-8866</t>
  </si>
  <si>
    <t>Evangelina</t>
  </si>
  <si>
    <t>Rushin</t>
  </si>
  <si>
    <t>273 Kenneth Court</t>
  </si>
  <si>
    <t>Lindsey</t>
  </si>
  <si>
    <t>43442</t>
  </si>
  <si>
    <t>(419) 555-4558</t>
  </si>
  <si>
    <t>Pamela</t>
  </si>
  <si>
    <t>Gilbert</t>
  </si>
  <si>
    <t>670 South Mobile Way</t>
  </si>
  <si>
    <t>(419) 555-5578</t>
  </si>
  <si>
    <t>Marilyn</t>
  </si>
  <si>
    <t>173 Gregory Avenue</t>
  </si>
  <si>
    <t>(419) 555-5628</t>
  </si>
  <si>
    <t>Piper</t>
  </si>
  <si>
    <t>625 Roosevelt Court</t>
  </si>
  <si>
    <t>(419) 555-2461</t>
  </si>
  <si>
    <t>Peralta</t>
  </si>
  <si>
    <t>529 May Way</t>
  </si>
  <si>
    <t>Canton</t>
  </si>
  <si>
    <t>48188</t>
  </si>
  <si>
    <t>(734) 555-6735</t>
  </si>
  <si>
    <t>Cloutier</t>
  </si>
  <si>
    <t>707 Rockwell Street</t>
  </si>
  <si>
    <t>(419) 555-6366</t>
  </si>
  <si>
    <t>Lou</t>
  </si>
  <si>
    <t>77 East Albany Avenue</t>
  </si>
  <si>
    <t>(419) 555-3947</t>
  </si>
  <si>
    <t>582 West Waller Avenue</t>
  </si>
  <si>
    <t>(419) 555-3471</t>
  </si>
  <si>
    <t>Burbank</t>
  </si>
  <si>
    <t>535 State Street</t>
  </si>
  <si>
    <t>Flat Rock</t>
  </si>
  <si>
    <t>48134</t>
  </si>
  <si>
    <t>(734) 555-7982</t>
  </si>
  <si>
    <t>Scuderi</t>
  </si>
  <si>
    <t>336 Maryland Street</t>
  </si>
  <si>
    <t>(419) 555-9435</t>
  </si>
  <si>
    <t>Guerra</t>
  </si>
  <si>
    <t>431 South Sayre Street</t>
  </si>
  <si>
    <t>(419) 555-5449</t>
  </si>
  <si>
    <t>Slaughter</t>
  </si>
  <si>
    <t>882 Elizabeth Avenue</t>
  </si>
  <si>
    <t>Metairie</t>
  </si>
  <si>
    <t>LA</t>
  </si>
  <si>
    <t>70002</t>
  </si>
  <si>
    <t>(504) 555-8559</t>
  </si>
  <si>
    <t>Lamont</t>
  </si>
  <si>
    <t>Strom</t>
  </si>
  <si>
    <t>670 Pool Avenue</t>
  </si>
  <si>
    <t>(419) 555-9211</t>
  </si>
  <si>
    <t>Derrick</t>
  </si>
  <si>
    <t>Cruz</t>
  </si>
  <si>
    <t>273 Seipp Avenue</t>
  </si>
  <si>
    <t>Whitehouse</t>
  </si>
  <si>
    <t>43571</t>
  </si>
  <si>
    <t>(419) 555-6933</t>
  </si>
  <si>
    <t>Weinstein</t>
  </si>
  <si>
    <t>550 Logan Street</t>
  </si>
  <si>
    <t>(419) 555-4975</t>
  </si>
  <si>
    <t>Angelia</t>
  </si>
  <si>
    <t>Newman</t>
  </si>
  <si>
    <t>684 Magnolia Boulevard</t>
  </si>
  <si>
    <t>(419) 555-7942</t>
  </si>
  <si>
    <t>Sherri</t>
  </si>
  <si>
    <t>983 Senour Avenue</t>
  </si>
  <si>
    <t>(419) 555-4515</t>
  </si>
  <si>
    <t>Tammy</t>
  </si>
  <si>
    <t>269 South Natoma Avenue</t>
  </si>
  <si>
    <t xml:space="preserve">Albuquerque </t>
  </si>
  <si>
    <t>(505) 555-9114</t>
  </si>
  <si>
    <t>Sara</t>
  </si>
  <si>
    <t>Shoemake</t>
  </si>
  <si>
    <t>679 Shelby Boulevard</t>
  </si>
  <si>
    <t>Chatham</t>
  </si>
  <si>
    <t>62629</t>
  </si>
  <si>
    <t>(217) 555-2548</t>
  </si>
  <si>
    <t>Rodriguez</t>
  </si>
  <si>
    <t>796 Churchill Street</t>
  </si>
  <si>
    <t>(419) 555-4505</t>
  </si>
  <si>
    <t>761 Delphia Court</t>
  </si>
  <si>
    <t>Simpsonville</t>
  </si>
  <si>
    <t>29680</t>
  </si>
  <si>
    <t>(864) 555-5357</t>
  </si>
  <si>
    <t>Leathers</t>
  </si>
  <si>
    <t>454 Maud Lane</t>
  </si>
  <si>
    <t>(419) 555-9186</t>
  </si>
  <si>
    <t>Eddie</t>
  </si>
  <si>
    <t>Lofton</t>
  </si>
  <si>
    <t>217 May Avenue</t>
  </si>
  <si>
    <t>(419) 555-1192</t>
  </si>
  <si>
    <t>Julia</t>
  </si>
  <si>
    <t>Leach</t>
  </si>
  <si>
    <t>519 Hutchinson Street</t>
  </si>
  <si>
    <t>(419) 555-6782</t>
  </si>
  <si>
    <t>Sam</t>
  </si>
  <si>
    <t>Lilley</t>
  </si>
  <si>
    <t>866 Robinson Boulevard</t>
  </si>
  <si>
    <t>(419) 555-1377</t>
  </si>
  <si>
    <t>Stanley</t>
  </si>
  <si>
    <t>Kenner</t>
  </si>
  <si>
    <t>849 Shelby Court</t>
  </si>
  <si>
    <t>(419) 555-4963</t>
  </si>
  <si>
    <t>Young</t>
  </si>
  <si>
    <t>939 East Clifton Avenue</t>
  </si>
  <si>
    <t>(419) 555-9046</t>
  </si>
  <si>
    <t>Eugene</t>
  </si>
  <si>
    <t>Lyons</t>
  </si>
  <si>
    <t>173 Draper Street</t>
  </si>
  <si>
    <t>Woodville</t>
  </si>
  <si>
    <t>43469</t>
  </si>
  <si>
    <t>(419) 555-5064</t>
  </si>
  <si>
    <t>Hankinson</t>
  </si>
  <si>
    <t>315 Olliver Court</t>
  </si>
  <si>
    <t>Manhattan</t>
  </si>
  <si>
    <t>KS</t>
  </si>
  <si>
    <t>66502</t>
  </si>
  <si>
    <t>(785) 555-1539</t>
  </si>
  <si>
    <t>Vecchio</t>
  </si>
  <si>
    <t>780 Bell Avenue</t>
  </si>
  <si>
    <t>Washington</t>
  </si>
  <si>
    <t>DC</t>
  </si>
  <si>
    <t>20006</t>
  </si>
  <si>
    <t>(202) 555-7823</t>
  </si>
  <si>
    <t>Darren</t>
  </si>
  <si>
    <t>Dunne</t>
  </si>
  <si>
    <t>196 10th Court</t>
  </si>
  <si>
    <t xml:space="preserve">Elizabeth </t>
  </si>
  <si>
    <t>NJ</t>
  </si>
  <si>
    <t>07206</t>
  </si>
  <si>
    <t>(908) 555-4683</t>
  </si>
  <si>
    <t>11 South Davol Street</t>
  </si>
  <si>
    <t>Inkster</t>
  </si>
  <si>
    <t>48141</t>
  </si>
  <si>
    <t>(313) 555-7935</t>
  </si>
  <si>
    <t>Alta</t>
  </si>
  <si>
    <t>Louque</t>
  </si>
  <si>
    <t>828 Margate Court</t>
  </si>
  <si>
    <t>(419) 555-7167</t>
  </si>
  <si>
    <t>Whitmire</t>
  </si>
  <si>
    <t>796 Larned Lane</t>
  </si>
  <si>
    <t>48150</t>
  </si>
  <si>
    <t>(734) 555-1429</t>
  </si>
  <si>
    <t>Stephany</t>
  </si>
  <si>
    <t>Zamora</t>
  </si>
  <si>
    <t>267 Stockton Lane</t>
  </si>
  <si>
    <t>60123</t>
  </si>
  <si>
    <t>(847) 555-3064</t>
  </si>
  <si>
    <t>Lopez</t>
  </si>
  <si>
    <t>575 Tripp Street</t>
  </si>
  <si>
    <t>(419) 555-5556</t>
  </si>
  <si>
    <t>Joan</t>
  </si>
  <si>
    <t>Hardy</t>
  </si>
  <si>
    <t>193 North St Lawrence Street</t>
  </si>
  <si>
    <t>Kristen</t>
  </si>
  <si>
    <t>757 Randolph Avenue</t>
  </si>
  <si>
    <t>Littleton</t>
  </si>
  <si>
    <t>CO</t>
  </si>
  <si>
    <t>80128</t>
  </si>
  <si>
    <t>(303) 555-4831</t>
  </si>
  <si>
    <t>Lanier</t>
  </si>
  <si>
    <t>829 Wells Avenue</t>
  </si>
  <si>
    <t>Pemberville</t>
  </si>
  <si>
    <t>43450</t>
  </si>
  <si>
    <t>(419) 555-2032</t>
  </si>
  <si>
    <t>Kring</t>
  </si>
  <si>
    <t>231 Hobson Avenue</t>
  </si>
  <si>
    <t>(419) 555-8129</t>
  </si>
  <si>
    <t>Josephine</t>
  </si>
  <si>
    <t>43 Erie Way</t>
  </si>
  <si>
    <t>(419) 555-8435</t>
  </si>
  <si>
    <t>708 Nora Street</t>
  </si>
  <si>
    <t xml:space="preserve">Irvington </t>
  </si>
  <si>
    <t>07111</t>
  </si>
  <si>
    <t>(973) 555-2762</t>
  </si>
  <si>
    <t>Aaron</t>
  </si>
  <si>
    <t>Nantz</t>
  </si>
  <si>
    <t>624 Bellevue Street</t>
  </si>
  <si>
    <t>(419) 555-2129</t>
  </si>
  <si>
    <t>758 Rush Avenue</t>
  </si>
  <si>
    <t>(419) 555-5371</t>
  </si>
  <si>
    <t>Roland</t>
  </si>
  <si>
    <t>Wyllie</t>
  </si>
  <si>
    <t>278 North Winthrop Street</t>
  </si>
  <si>
    <t>Topeka</t>
  </si>
  <si>
    <t>66605</t>
  </si>
  <si>
    <t>(785) 555-3355</t>
  </si>
  <si>
    <t>Guadalupe</t>
  </si>
  <si>
    <t>Mahoney</t>
  </si>
  <si>
    <t>220 Jeer Street</t>
  </si>
  <si>
    <t>(419) 555-2944</t>
  </si>
  <si>
    <t>Tonya</t>
  </si>
  <si>
    <t>Hooper</t>
  </si>
  <si>
    <t>51 Tonty Avenue</t>
  </si>
  <si>
    <t>(419) 555-2054</t>
  </si>
  <si>
    <t>Joyce</t>
  </si>
  <si>
    <t>Owens</t>
  </si>
  <si>
    <t>115 Eria Street</t>
  </si>
  <si>
    <t>(419) 555-2448</t>
  </si>
  <si>
    <t>Elizabeth</t>
  </si>
  <si>
    <t>Madden</t>
  </si>
  <si>
    <t>293 West Keway Lane</t>
  </si>
  <si>
    <t>Grosse Pointe</t>
  </si>
  <si>
    <t>48236</t>
  </si>
  <si>
    <t>(313) 555-3694</t>
  </si>
  <si>
    <t>Kirksey</t>
  </si>
  <si>
    <t>128 Edgewater Avenue</t>
  </si>
  <si>
    <t>(419) 555-3988</t>
  </si>
  <si>
    <t>440 Kenwood Lane</t>
  </si>
  <si>
    <t>(734) 555-3272</t>
  </si>
  <si>
    <t>Powell</t>
  </si>
  <si>
    <t>331 Haul Street</t>
  </si>
  <si>
    <t>(419) 555-1117</t>
  </si>
  <si>
    <t>Butler</t>
  </si>
  <si>
    <t>328 Kingsdale Avenue</t>
  </si>
  <si>
    <t>(419) 555-9696</t>
  </si>
  <si>
    <t>Billy</t>
  </si>
  <si>
    <t>Dagostino</t>
  </si>
  <si>
    <t>125 Elias Way</t>
  </si>
  <si>
    <t>(419) 555-5646</t>
  </si>
  <si>
    <t>Pedro</t>
  </si>
  <si>
    <t>Bell</t>
  </si>
  <si>
    <t>796 Woodley Street</t>
  </si>
  <si>
    <t>(419) 555-3527</t>
  </si>
  <si>
    <t>Regina</t>
  </si>
  <si>
    <t>Shane</t>
  </si>
  <si>
    <t>438 Nitchen Street</t>
  </si>
  <si>
    <t>(419) 555-2177</t>
  </si>
  <si>
    <t>Sanders</t>
  </si>
  <si>
    <t>971 West Waseca Avenue</t>
  </si>
  <si>
    <t>Gibsonburg</t>
  </si>
  <si>
    <t>43431</t>
  </si>
  <si>
    <t>(419) 555-8994</t>
  </si>
  <si>
    <t>Roberts</t>
  </si>
  <si>
    <t>979 Lind Avenue</t>
  </si>
  <si>
    <t>(419) 555-5489</t>
  </si>
  <si>
    <t>Jessie</t>
  </si>
  <si>
    <t>Gray</t>
  </si>
  <si>
    <t>677 Soutre Lane</t>
  </si>
  <si>
    <t>(419) 555-3877</t>
  </si>
  <si>
    <t>Delores</t>
  </si>
  <si>
    <t>Lunsford</t>
  </si>
  <si>
    <t>400 North 10th Street</t>
  </si>
  <si>
    <t>(419) 555-9492</t>
  </si>
  <si>
    <t>Lynch</t>
  </si>
  <si>
    <t>419 Mozart Street</t>
  </si>
  <si>
    <t>Sunnyvale</t>
  </si>
  <si>
    <t>94086</t>
  </si>
  <si>
    <t>(408) 555-3213</t>
  </si>
  <si>
    <t>553 East Walnut Street</t>
  </si>
  <si>
    <t>(313) 555-7383</t>
  </si>
  <si>
    <t>Lancaster</t>
  </si>
  <si>
    <t>687 Spokane Way</t>
  </si>
  <si>
    <t>(419) 555-1452</t>
  </si>
  <si>
    <t>Carolyn</t>
  </si>
  <si>
    <t>Glover</t>
  </si>
  <si>
    <t>50 Soutre Court</t>
  </si>
  <si>
    <t>(419) 555-1707</t>
  </si>
  <si>
    <t>Horn</t>
  </si>
  <si>
    <t>987 East Waldron Street</t>
  </si>
  <si>
    <t>(419) 555-5613</t>
  </si>
  <si>
    <t>Hawks</t>
  </si>
  <si>
    <t>621 West Honor Lane</t>
  </si>
  <si>
    <t>(419) 555-3205</t>
  </si>
  <si>
    <t>150 East Euston Street</t>
  </si>
  <si>
    <t>(313) 555-6194</t>
  </si>
  <si>
    <t>886 North Germania Avenue</t>
  </si>
  <si>
    <t>(419) 555-4888</t>
  </si>
  <si>
    <t>Angeline</t>
  </si>
  <si>
    <t>Cortez</t>
  </si>
  <si>
    <t>689 North Osceola Lane</t>
  </si>
  <si>
    <t>(419) 555-1927</t>
  </si>
  <si>
    <t>Daniel</t>
  </si>
  <si>
    <t>Petti</t>
  </si>
  <si>
    <t>736 Monroe Street</t>
  </si>
  <si>
    <t>(419) 555-6312</t>
  </si>
  <si>
    <t>Cynthia</t>
  </si>
  <si>
    <t>Stapleton</t>
  </si>
  <si>
    <t>693 West Hillock Street</t>
  </si>
  <si>
    <t>(419) 555-1831</t>
  </si>
  <si>
    <t>Ginger</t>
  </si>
  <si>
    <t>Moore</t>
  </si>
  <si>
    <t>74 River Front Boulevard</t>
  </si>
  <si>
    <t>(419) 555-8364</t>
  </si>
  <si>
    <t>Noelle</t>
  </si>
  <si>
    <t>Nelson</t>
  </si>
  <si>
    <t>504 Kennison Street</t>
  </si>
  <si>
    <t>(419) 555-7656</t>
  </si>
  <si>
    <t>Bonny</t>
  </si>
  <si>
    <t>Wong</t>
  </si>
  <si>
    <t>598 Barry Avenue</t>
  </si>
  <si>
    <t>Milford</t>
  </si>
  <si>
    <t>48381</t>
  </si>
  <si>
    <t>(248) 555-3462</t>
  </si>
  <si>
    <t>Shirley</t>
  </si>
  <si>
    <t>Pena</t>
  </si>
  <si>
    <t>590 Lightfoot Street</t>
  </si>
  <si>
    <t>(419) 555-3552</t>
  </si>
  <si>
    <t>Peter</t>
  </si>
  <si>
    <t>Redmond</t>
  </si>
  <si>
    <t>858 Sennett Street</t>
  </si>
  <si>
    <t>(419) 555-5102</t>
  </si>
  <si>
    <t>Hart</t>
  </si>
  <si>
    <t>640 Throop Street</t>
  </si>
  <si>
    <t>(419) 555-1558</t>
  </si>
  <si>
    <t>Victoria</t>
  </si>
  <si>
    <t>Browning</t>
  </si>
  <si>
    <t>66 Edgewater Street</t>
  </si>
  <si>
    <t>(419) 555-5039</t>
  </si>
  <si>
    <t>Alice</t>
  </si>
  <si>
    <t>468 Coulter Way</t>
  </si>
  <si>
    <t>Belleville</t>
  </si>
  <si>
    <t>48111</t>
  </si>
  <si>
    <t>(734) 555-1267</t>
  </si>
  <si>
    <t>Bower</t>
  </si>
  <si>
    <t>821 Mccormick Way</t>
  </si>
  <si>
    <t>(419) 555-6937</t>
  </si>
  <si>
    <t>Irwin</t>
  </si>
  <si>
    <t>Rowe</t>
  </si>
  <si>
    <t>374 Hill Avenue</t>
  </si>
  <si>
    <t>(419) 555-7265</t>
  </si>
  <si>
    <t>Angelica</t>
  </si>
  <si>
    <t>Kim</t>
  </si>
  <si>
    <t>409 Leyden Boulevard</t>
  </si>
  <si>
    <t>(419) 555-7512</t>
  </si>
  <si>
    <t>Sydney</t>
  </si>
  <si>
    <t>Baine</t>
  </si>
  <si>
    <t>339 4th Lane</t>
  </si>
  <si>
    <t>Sacramento</t>
  </si>
  <si>
    <t>95822</t>
  </si>
  <si>
    <t>(916) 555-8466</t>
  </si>
  <si>
    <t>Timothy</t>
  </si>
  <si>
    <t>Servin</t>
  </si>
  <si>
    <t>218 Gladys Street</t>
  </si>
  <si>
    <t>(419) 555-9695</t>
  </si>
  <si>
    <t>Genevive</t>
  </si>
  <si>
    <t>Flanders</t>
  </si>
  <si>
    <t>291 Medill Avenue</t>
  </si>
  <si>
    <t>(419) 555-2706</t>
  </si>
  <si>
    <t>948 Randolph Street</t>
  </si>
  <si>
    <t>Sesco</t>
  </si>
  <si>
    <t>155 Parkview Boulevard</t>
  </si>
  <si>
    <t>(419) 555-6163</t>
  </si>
  <si>
    <t>Beeks</t>
  </si>
  <si>
    <t>828 Mayfield Lane</t>
  </si>
  <si>
    <t>(419) 555-7876</t>
  </si>
  <si>
    <t>Angela</t>
  </si>
  <si>
    <t>Shields</t>
  </si>
  <si>
    <t>520 Dorthy Street</t>
  </si>
  <si>
    <t>(419) 555-3149</t>
  </si>
  <si>
    <t>Dwight</t>
  </si>
  <si>
    <t>Watson</t>
  </si>
  <si>
    <t>225 Churchill Court</t>
  </si>
  <si>
    <t>(419) 555-9164</t>
  </si>
  <si>
    <t>Jennifer</t>
  </si>
  <si>
    <t>Taranto</t>
  </si>
  <si>
    <t>690 South Moody Avenue</t>
  </si>
  <si>
    <t>Indianapolis</t>
  </si>
  <si>
    <t>IN</t>
  </si>
  <si>
    <t>46219</t>
  </si>
  <si>
    <t>(317) 555-2913</t>
  </si>
  <si>
    <t>Clyde</t>
  </si>
  <si>
    <t>Felan</t>
  </si>
  <si>
    <t>423 Woodland Way</t>
  </si>
  <si>
    <t>Applegate</t>
  </si>
  <si>
    <t>48401</t>
  </si>
  <si>
    <t>(810) 555-7839</t>
  </si>
  <si>
    <t>Christian</t>
  </si>
  <si>
    <t>456 Grady Avenue</t>
  </si>
  <si>
    <t>(419) 555-5987</t>
  </si>
  <si>
    <t>Ian</t>
  </si>
  <si>
    <t>Theisen</t>
  </si>
  <si>
    <t>11 Ionia Street</t>
  </si>
  <si>
    <t>(419) 555-7809</t>
  </si>
  <si>
    <t>Chas</t>
  </si>
  <si>
    <t>Ortiz</t>
  </si>
  <si>
    <t>329 Wolcott Way</t>
  </si>
  <si>
    <t>Wauseon</t>
  </si>
  <si>
    <t>43567</t>
  </si>
  <si>
    <t>(419) 555-9766</t>
  </si>
  <si>
    <t>Saul</t>
  </si>
  <si>
    <t>859 Anthon Lane</t>
  </si>
  <si>
    <t>Manhattan Beach</t>
  </si>
  <si>
    <t>90266</t>
  </si>
  <si>
    <t>(310) 555-9146</t>
  </si>
  <si>
    <t>Danny</t>
  </si>
  <si>
    <t>Saltz</t>
  </si>
  <si>
    <t>807 Kedo Way</t>
  </si>
  <si>
    <t>Gibbon</t>
  </si>
  <si>
    <t>NE</t>
  </si>
  <si>
    <t>68840</t>
  </si>
  <si>
    <t>(308) 555-4722</t>
  </si>
  <si>
    <t>809 Keddick Avenue</t>
  </si>
  <si>
    <t>(419) 555-4323</t>
  </si>
  <si>
    <t>Straker</t>
  </si>
  <si>
    <t>786 Howe Street</t>
  </si>
  <si>
    <t>Mason</t>
  </si>
  <si>
    <t>45040</t>
  </si>
  <si>
    <t>(513) 555-9644</t>
  </si>
  <si>
    <t>Cheryl</t>
  </si>
  <si>
    <t>935 South Fairview Street</t>
  </si>
  <si>
    <t>Beatriz</t>
  </si>
  <si>
    <t>Norris</t>
  </si>
  <si>
    <t>461 West Harrington Street</t>
  </si>
  <si>
    <t>(419) 555-1943</t>
  </si>
  <si>
    <t>Arnold</t>
  </si>
  <si>
    <t>Berner</t>
  </si>
  <si>
    <t>395 Oshkosh Avenue</t>
  </si>
  <si>
    <t>(419) 555-9383</t>
  </si>
  <si>
    <t>Deweese</t>
  </si>
  <si>
    <t>127 Grace Street</t>
  </si>
  <si>
    <t>(419) 555-8964</t>
  </si>
  <si>
    <t>16 Balmoral Street</t>
  </si>
  <si>
    <t>(419) 555-3006</t>
  </si>
  <si>
    <t>80 Merrimac Boulevard</t>
  </si>
  <si>
    <t>(419) 555-7131</t>
  </si>
  <si>
    <t>Ruby</t>
  </si>
  <si>
    <t>571 Clyde Avenue</t>
  </si>
  <si>
    <t>Temperance</t>
  </si>
  <si>
    <t>48182</t>
  </si>
  <si>
    <t>(734) 555-1867</t>
  </si>
  <si>
    <t>Ida</t>
  </si>
  <si>
    <t>Ward</t>
  </si>
  <si>
    <t>284 Potawatomie Street</t>
  </si>
  <si>
    <t>(419) 555-3208</t>
  </si>
  <si>
    <t>Luis</t>
  </si>
  <si>
    <t>Burton</t>
  </si>
  <si>
    <t>399 Landers Street</t>
  </si>
  <si>
    <t>(419) 555-2282</t>
  </si>
  <si>
    <t>Davis</t>
  </si>
  <si>
    <t>153 North Bowman Avenue</t>
  </si>
  <si>
    <t>Roy</t>
  </si>
  <si>
    <t>Block</t>
  </si>
  <si>
    <t>388 Keel Avenue</t>
  </si>
  <si>
    <t>Kennett Square</t>
  </si>
  <si>
    <t>19348</t>
  </si>
  <si>
    <t>(610) 555-4227</t>
  </si>
  <si>
    <t>Mellissa</t>
  </si>
  <si>
    <t>701 Clark Street</t>
  </si>
  <si>
    <t>48238</t>
  </si>
  <si>
    <t>(313) 555-1661</t>
  </si>
  <si>
    <t>984 Wilcox Boulevard</t>
  </si>
  <si>
    <t>(419) 555-1266</t>
  </si>
  <si>
    <t>54 Berteau Street</t>
  </si>
  <si>
    <t>(313) 555-4244</t>
  </si>
  <si>
    <t>Willis</t>
  </si>
  <si>
    <t>697 St Georges Street</t>
  </si>
  <si>
    <t>Genoa</t>
  </si>
  <si>
    <t>43430</t>
  </si>
  <si>
    <t>(419) 555-9669</t>
  </si>
  <si>
    <t>Alongi</t>
  </si>
  <si>
    <t>992 Thatcher Avenue</t>
  </si>
  <si>
    <t>Archbold</t>
  </si>
  <si>
    <t>43502</t>
  </si>
  <si>
    <t>(419) 555-6385</t>
  </si>
  <si>
    <t>Erica</t>
  </si>
  <si>
    <t>Scott</t>
  </si>
  <si>
    <t>864 North Drexel Boulevard</t>
  </si>
  <si>
    <t>(419) 555-4683</t>
  </si>
  <si>
    <t>Joy</t>
  </si>
  <si>
    <t>Utter</t>
  </si>
  <si>
    <t>330 Markham Boulevard</t>
  </si>
  <si>
    <t>(419) 555-6247</t>
  </si>
  <si>
    <t>Kendrick</t>
  </si>
  <si>
    <t>760 West Delong Street</t>
  </si>
  <si>
    <t>(419) 555-8784</t>
  </si>
  <si>
    <t>Levi</t>
  </si>
  <si>
    <t>Giannone</t>
  </si>
  <si>
    <t>658 Lakeview Way</t>
  </si>
  <si>
    <t>Toni</t>
  </si>
  <si>
    <t>Hake</t>
  </si>
  <si>
    <t>38 Central Street</t>
  </si>
  <si>
    <t>(419) 555-4594</t>
  </si>
  <si>
    <t>Chase</t>
  </si>
  <si>
    <t>Karp</t>
  </si>
  <si>
    <t>962 Newcastle Street</t>
  </si>
  <si>
    <t>South Gate</t>
  </si>
  <si>
    <t>90280</t>
  </si>
  <si>
    <t>(323) 555-1647</t>
  </si>
  <si>
    <t>Whitney</t>
  </si>
  <si>
    <t>Gooch</t>
  </si>
  <si>
    <t>380 Oak Boulevard</t>
  </si>
  <si>
    <t>80130</t>
  </si>
  <si>
    <t>(303) 555-6007</t>
  </si>
  <si>
    <t>Don</t>
  </si>
  <si>
    <t>Borger</t>
  </si>
  <si>
    <t>827 Dover Street</t>
  </si>
  <si>
    <t>Sayville</t>
  </si>
  <si>
    <t>11782</t>
  </si>
  <si>
    <t>(631) 555-1616</t>
  </si>
  <si>
    <t>Hogan</t>
  </si>
  <si>
    <t>282 7th Avenue</t>
  </si>
  <si>
    <t>Orchard Park</t>
  </si>
  <si>
    <t>14127</t>
  </si>
  <si>
    <t>(716) 555-9227</t>
  </si>
  <si>
    <t>249 Tonty Avenue</t>
  </si>
  <si>
    <t>(419) 555-4169</t>
  </si>
  <si>
    <t>Florence</t>
  </si>
  <si>
    <t>Wagner</t>
  </si>
  <si>
    <t>750 East River Walk Street</t>
  </si>
  <si>
    <t>(419) 555-3531</t>
  </si>
  <si>
    <t>363 Calumet Lane</t>
  </si>
  <si>
    <t>(419) 555-2096</t>
  </si>
  <si>
    <t>Melvina</t>
  </si>
  <si>
    <t>Santos</t>
  </si>
  <si>
    <t>940 Hartland Street</t>
  </si>
  <si>
    <t>Renton</t>
  </si>
  <si>
    <t>98056</t>
  </si>
  <si>
    <t>(425) 555-7434</t>
  </si>
  <si>
    <t>Nereida</t>
  </si>
  <si>
    <t>393 Washburne Court</t>
  </si>
  <si>
    <t>Krieg</t>
  </si>
  <si>
    <t>421 Merrimac Avenue</t>
  </si>
  <si>
    <t>(419) 555-3793</t>
  </si>
  <si>
    <t>484 Howe Court</t>
  </si>
  <si>
    <t>(419) 555-8946</t>
  </si>
  <si>
    <t>Clint</t>
  </si>
  <si>
    <t>Gutierrez</t>
  </si>
  <si>
    <t>320 Lawrence Avenue</t>
  </si>
  <si>
    <t>(419) 555-3732</t>
  </si>
  <si>
    <t>Arthur</t>
  </si>
  <si>
    <t>Villeda</t>
  </si>
  <si>
    <t>669 Homewood Boulevard</t>
  </si>
  <si>
    <t>(419) 555-4063</t>
  </si>
  <si>
    <t>Muriel</t>
  </si>
  <si>
    <t>Poyner</t>
  </si>
  <si>
    <t>925 Noughton Way</t>
  </si>
  <si>
    <t>Elmore</t>
  </si>
  <si>
    <t>43416</t>
  </si>
  <si>
    <t>(419) 555-6282</t>
  </si>
  <si>
    <t>Deaton</t>
  </si>
  <si>
    <t>82 Oswego Street</t>
  </si>
  <si>
    <t>(419) 555-3165</t>
  </si>
  <si>
    <t>Patti</t>
  </si>
  <si>
    <t>Hollis</t>
  </si>
  <si>
    <t>822 Calumet Boulevard</t>
  </si>
  <si>
    <t>(419) 555-6861</t>
  </si>
  <si>
    <t>Baxter</t>
  </si>
  <si>
    <t>36 Pier Court</t>
  </si>
  <si>
    <t>(419) 555-4931</t>
  </si>
  <si>
    <t>Evon</t>
  </si>
  <si>
    <t>Murphy</t>
  </si>
  <si>
    <t>365 Berwyn Way</t>
  </si>
  <si>
    <t>Mount Pleasant</t>
  </si>
  <si>
    <t>29464</t>
  </si>
  <si>
    <t>(843) 555-7104</t>
  </si>
  <si>
    <t>Broughton</t>
  </si>
  <si>
    <t>468 Columbine Avenue</t>
  </si>
  <si>
    <t>(313) 555-1176</t>
  </si>
  <si>
    <t>Townsend</t>
  </si>
  <si>
    <t>415 Crosby Avenue</t>
  </si>
  <si>
    <t>(419) 555-4495</t>
  </si>
  <si>
    <t>Ng</t>
  </si>
  <si>
    <t>646 Statley Avenue</t>
  </si>
  <si>
    <t>(419) 555-3122</t>
  </si>
  <si>
    <t>Bevins</t>
  </si>
  <si>
    <t>19 Albany Avenue</t>
  </si>
  <si>
    <t>(419) 555-5909</t>
  </si>
  <si>
    <t>Cassandra</t>
  </si>
  <si>
    <t>117 Newbrough Street</t>
  </si>
  <si>
    <t>(419) 555-8559</t>
  </si>
  <si>
    <t>Gerald</t>
  </si>
  <si>
    <t>129 West Calhoun Avenue</t>
  </si>
  <si>
    <t>(419) 555-2971</t>
  </si>
  <si>
    <t>Debra</t>
  </si>
  <si>
    <t>807 Asher Avenue</t>
  </si>
  <si>
    <t>Custar</t>
  </si>
  <si>
    <t>43511</t>
  </si>
  <si>
    <t>(419) 555-4204</t>
  </si>
  <si>
    <t>Glass</t>
  </si>
  <si>
    <t>164 London Street</t>
  </si>
  <si>
    <t>(419) 555-8561</t>
  </si>
  <si>
    <t>Cecilia</t>
  </si>
  <si>
    <t>Chan</t>
  </si>
  <si>
    <t>357 Fremont Boulevard</t>
  </si>
  <si>
    <t>(419) 555-2862</t>
  </si>
  <si>
    <t>White</t>
  </si>
  <si>
    <t>556 East Canal Avenue</t>
  </si>
  <si>
    <t xml:space="preserve">Lakewood </t>
  </si>
  <si>
    <t>08701</t>
  </si>
  <si>
    <t>(732) 555-2853</t>
  </si>
  <si>
    <t>Genevieve</t>
  </si>
  <si>
    <t>Morgan</t>
  </si>
  <si>
    <t>511 Gresham Street</t>
  </si>
  <si>
    <t>(419) 555-5186</t>
  </si>
  <si>
    <t>Payne</t>
  </si>
  <si>
    <t>631 East Dean Avenue</t>
  </si>
  <si>
    <t>(419) 555-2569</t>
  </si>
  <si>
    <t>Johnston</t>
  </si>
  <si>
    <t>435 West Pittsburgh Street</t>
  </si>
  <si>
    <t>48125</t>
  </si>
  <si>
    <t>(313) 555-6763</t>
  </si>
  <si>
    <t>Kate</t>
  </si>
  <si>
    <t>698 Van Buren Avenue</t>
  </si>
  <si>
    <t>Monclova</t>
  </si>
  <si>
    <t>43542</t>
  </si>
  <si>
    <t>(419) 555-2803</t>
  </si>
  <si>
    <t>Joshua</t>
  </si>
  <si>
    <t>Kuykendall</t>
  </si>
  <si>
    <t>39 Peoria Avenue</t>
  </si>
  <si>
    <t>(419) 555-9885</t>
  </si>
  <si>
    <t>Kelly</t>
  </si>
  <si>
    <t>527 Minerva Avenue</t>
  </si>
  <si>
    <t>(419) 555-2975</t>
  </si>
  <si>
    <t>Wise</t>
  </si>
  <si>
    <t>812 Leland Avenue</t>
  </si>
  <si>
    <t>43533</t>
  </si>
  <si>
    <t>(419) 555-9478</t>
  </si>
  <si>
    <t>356 Glenwood Lane</t>
  </si>
  <si>
    <t>(419) 555-3762</t>
  </si>
  <si>
    <t>Leatha</t>
  </si>
  <si>
    <t>Wooten</t>
  </si>
  <si>
    <t>626 Latham Street</t>
  </si>
  <si>
    <t>(419) 555-5843</t>
  </si>
  <si>
    <t>188 South Olive Court</t>
  </si>
  <si>
    <t>(419) 555-6499</t>
  </si>
  <si>
    <t>Victor</t>
  </si>
  <si>
    <t>Goodwin</t>
  </si>
  <si>
    <t>186 Gale Boulevard</t>
  </si>
  <si>
    <t>(419) 555-8006</t>
  </si>
  <si>
    <t>Rollins</t>
  </si>
  <si>
    <t>199 Delphia Lane</t>
  </si>
  <si>
    <t>(419) 555-5645</t>
  </si>
  <si>
    <t>Jessica</t>
  </si>
  <si>
    <t>Martinez</t>
  </si>
  <si>
    <t>359 West Le Moyne Avenue</t>
  </si>
  <si>
    <t>(419) 555-1298</t>
  </si>
  <si>
    <t>Sue</t>
  </si>
  <si>
    <t>Hermosillo</t>
  </si>
  <si>
    <t>716 Quincy Street</t>
  </si>
  <si>
    <t>Weston</t>
  </si>
  <si>
    <t>43569</t>
  </si>
  <si>
    <t>(419) 555-8513</t>
  </si>
  <si>
    <t>Alley</t>
  </si>
  <si>
    <t>857 West Madison Street</t>
  </si>
  <si>
    <t>Amy</t>
  </si>
  <si>
    <t>Leslie</t>
  </si>
  <si>
    <t>199 Harrington Avenue</t>
  </si>
  <si>
    <t>Biloxi</t>
  </si>
  <si>
    <t>39531</t>
  </si>
  <si>
    <t>(228) 555-5493</t>
  </si>
  <si>
    <t>Rudy</t>
  </si>
  <si>
    <t>366 Fairhope Court</t>
  </si>
  <si>
    <t>(419) 555-2128</t>
  </si>
  <si>
    <t>Deloera</t>
  </si>
  <si>
    <t>642 Brennan Street</t>
  </si>
  <si>
    <t>Sugar Land</t>
  </si>
  <si>
    <t>77479</t>
  </si>
  <si>
    <t>(281) 555-6181</t>
  </si>
  <si>
    <t>410 Tan Street</t>
  </si>
  <si>
    <t>(419) 555-1419</t>
  </si>
  <si>
    <t>Rosette</t>
  </si>
  <si>
    <t>Palmer</t>
  </si>
  <si>
    <t>346 Haynes Boulevard</t>
  </si>
  <si>
    <t>(419) 555-2777</t>
  </si>
  <si>
    <t>Bernard</t>
  </si>
  <si>
    <t>Ong</t>
  </si>
  <si>
    <t>232 Monroe Street</t>
  </si>
  <si>
    <t>(419) 555-8647</t>
  </si>
  <si>
    <t>Drake</t>
  </si>
  <si>
    <t>667 Morgan Boulevard</t>
  </si>
  <si>
    <t>Risingsun</t>
  </si>
  <si>
    <t>43457</t>
  </si>
  <si>
    <t>(419) 555-2263</t>
  </si>
  <si>
    <t>366 2nd Avenue</t>
  </si>
  <si>
    <t>48209</t>
  </si>
  <si>
    <t>(313) 555-2641</t>
  </si>
  <si>
    <t>204 Nora Boulevard</t>
  </si>
  <si>
    <t>48154</t>
  </si>
  <si>
    <t>(734) 555-9281</t>
  </si>
  <si>
    <t>Treva</t>
  </si>
  <si>
    <t>128 Financial Street</t>
  </si>
  <si>
    <t>(419) 555-4051</t>
  </si>
  <si>
    <t>Grimm</t>
  </si>
  <si>
    <t>94 North St Michaels Street</t>
  </si>
  <si>
    <t>(419) 555-2921</t>
  </si>
  <si>
    <t>Pauline</t>
  </si>
  <si>
    <t>Patton</t>
  </si>
  <si>
    <t>537 Gunnison Avenue</t>
  </si>
  <si>
    <t>(419) 555-1349</t>
  </si>
  <si>
    <t>62 Odell Street</t>
  </si>
  <si>
    <t>(419) 555-4944</t>
  </si>
  <si>
    <t>Kates</t>
  </si>
  <si>
    <t>267 South Hook Court</t>
  </si>
  <si>
    <t>(419) 555-5622</t>
  </si>
  <si>
    <t>Viola</t>
  </si>
  <si>
    <t>496 Cahill Street</t>
  </si>
  <si>
    <t>(419) 555-7859</t>
  </si>
  <si>
    <t>Susan</t>
  </si>
  <si>
    <t>799 North Root Street</t>
  </si>
  <si>
    <t>(419) 555-5486</t>
  </si>
  <si>
    <t>Barksdale</t>
  </si>
  <si>
    <t>415 North Roosevelt Avenue</t>
  </si>
  <si>
    <t>(419) 555-7485</t>
  </si>
  <si>
    <t>Matilda</t>
  </si>
  <si>
    <t>Dye</t>
  </si>
  <si>
    <t>690 Shore Boulevard</t>
  </si>
  <si>
    <t>(419) 555-3795</t>
  </si>
  <si>
    <t>52 Patton Avenue</t>
  </si>
  <si>
    <t>(419) 555-1517</t>
  </si>
  <si>
    <t>Bankston</t>
  </si>
  <si>
    <t>729 Emma Avenue</t>
  </si>
  <si>
    <t>(419) 555-9869</t>
  </si>
  <si>
    <t>Manuel</t>
  </si>
  <si>
    <t>Ruiz</t>
  </si>
  <si>
    <t>658 Avers Boulevard</t>
  </si>
  <si>
    <t>New Orleans</t>
  </si>
  <si>
    <t>70117</t>
  </si>
  <si>
    <t>(504) 555-9898</t>
  </si>
  <si>
    <t>Barry</t>
  </si>
  <si>
    <t>Elkins</t>
  </si>
  <si>
    <t>898 East Keefe Street</t>
  </si>
  <si>
    <t>(419) 555-5106</t>
  </si>
  <si>
    <t>Christenson</t>
  </si>
  <si>
    <t>301 Sherwin Avenue</t>
  </si>
  <si>
    <t>Cedar Bluff</t>
  </si>
  <si>
    <t>VA</t>
  </si>
  <si>
    <t>24609</t>
  </si>
  <si>
    <t>(276) 555-7277</t>
  </si>
  <si>
    <t>Martha</t>
  </si>
  <si>
    <t>Crabtree</t>
  </si>
  <si>
    <t>687 Wabash Avenue</t>
  </si>
  <si>
    <t>(419) 555-5123</t>
  </si>
  <si>
    <t>Blum</t>
  </si>
  <si>
    <t>860 Dover Avenue</t>
  </si>
  <si>
    <t>(419) 555-2591</t>
  </si>
  <si>
    <t>Miguel</t>
  </si>
  <si>
    <t>Bedgood</t>
  </si>
  <si>
    <t>965 Lincoln Court</t>
  </si>
  <si>
    <t>(419) 555-7483</t>
  </si>
  <si>
    <t>332 St James Boulevard</t>
  </si>
  <si>
    <t>(419) 555-4737</t>
  </si>
  <si>
    <t>North</t>
  </si>
  <si>
    <t>682 Janssen Street</t>
  </si>
  <si>
    <t>Westland</t>
  </si>
  <si>
    <t>48185</t>
  </si>
  <si>
    <t>(734) 555-5848</t>
  </si>
  <si>
    <t>Livingston</t>
  </si>
  <si>
    <t>100 Thatcher Avenue</t>
  </si>
  <si>
    <t>Redford</t>
  </si>
  <si>
    <t>48239</t>
  </si>
  <si>
    <t>(734) 555-6198</t>
  </si>
  <si>
    <t>Geoffrey</t>
  </si>
  <si>
    <t>Chenoweth</t>
  </si>
  <si>
    <t>374 Mac Dermont Avenue</t>
  </si>
  <si>
    <t>(419) 555-2575</t>
  </si>
  <si>
    <t>Vaught</t>
  </si>
  <si>
    <t>747 Walford Way</t>
  </si>
  <si>
    <t>(734) 555-9489</t>
  </si>
  <si>
    <t>Marlene</t>
  </si>
  <si>
    <t>Bova</t>
  </si>
  <si>
    <t>423 North Norfolk Avenue</t>
  </si>
  <si>
    <t>(419) 555-1931</t>
  </si>
  <si>
    <t>Dusty</t>
  </si>
  <si>
    <t>Fowler</t>
  </si>
  <si>
    <t>860 Raven Street</t>
  </si>
  <si>
    <t>(419) 555-9267</t>
  </si>
  <si>
    <t>Winslow</t>
  </si>
  <si>
    <t>575 Waushka Avenue</t>
  </si>
  <si>
    <t>48205</t>
  </si>
  <si>
    <t>(313) 555-2761</t>
  </si>
  <si>
    <t>Stowers</t>
  </si>
  <si>
    <t>422 Doty Lane</t>
  </si>
  <si>
    <t>Taylor</t>
  </si>
  <si>
    <t>48180</t>
  </si>
  <si>
    <t>(313) 555-1605</t>
  </si>
  <si>
    <t>Dizon</t>
  </si>
  <si>
    <t>358 East Financial Court</t>
  </si>
  <si>
    <t>La Habra</t>
  </si>
  <si>
    <t>90631</t>
  </si>
  <si>
    <t>(562) 555-6452</t>
  </si>
  <si>
    <t>842 Mcalpin Avenue</t>
  </si>
  <si>
    <t>(419) 555-4846</t>
  </si>
  <si>
    <t>Gary</t>
  </si>
  <si>
    <t>903 South Ogden Avenue</t>
  </si>
  <si>
    <t>(419) 555-4996</t>
  </si>
  <si>
    <t>Ethel</t>
  </si>
  <si>
    <t>Colbert</t>
  </si>
  <si>
    <t>927 West Kensington Court</t>
  </si>
  <si>
    <t>(419) 555-9351</t>
  </si>
  <si>
    <t>Jenny</t>
  </si>
  <si>
    <t>Bacon</t>
  </si>
  <si>
    <t>774 Kimberly Avenue</t>
  </si>
  <si>
    <t>(419) 555-9973</t>
  </si>
  <si>
    <t>Stock</t>
  </si>
  <si>
    <t>671 Blanchard Way</t>
  </si>
  <si>
    <t>(419) 555-4547</t>
  </si>
  <si>
    <t>Roberta</t>
  </si>
  <si>
    <t>Holman</t>
  </si>
  <si>
    <t>236 Kinzie Avenue</t>
  </si>
  <si>
    <t>Luckey</t>
  </si>
  <si>
    <t>43443</t>
  </si>
  <si>
    <t>(419) 555-6602</t>
  </si>
  <si>
    <t>Morris</t>
  </si>
  <si>
    <t>Myers</t>
  </si>
  <si>
    <t>862 Justice Avenue</t>
  </si>
  <si>
    <t>(419) 555-4773</t>
  </si>
  <si>
    <t>Marie</t>
  </si>
  <si>
    <t>Kay</t>
  </si>
  <si>
    <t>638 Lowell Boulevard</t>
  </si>
  <si>
    <t>(419) 555-5999</t>
  </si>
  <si>
    <t>Acevedo</t>
  </si>
  <si>
    <t>601 Wilton Avenue</t>
  </si>
  <si>
    <t>(419) 555-1351</t>
  </si>
  <si>
    <t>Delatorre</t>
  </si>
  <si>
    <t>583 Ewing Lane</t>
  </si>
  <si>
    <t>(419) 555-4122</t>
  </si>
  <si>
    <t>296 Berwyn Avenue</t>
  </si>
  <si>
    <t>New York</t>
  </si>
  <si>
    <t>10032</t>
  </si>
  <si>
    <t>(212) 555-3099</t>
  </si>
  <si>
    <t>22 North Loomis Way</t>
  </si>
  <si>
    <t>(419) 555-1273</t>
  </si>
  <si>
    <t>Grady</t>
  </si>
  <si>
    <t>Benson</t>
  </si>
  <si>
    <t>211 Grenshaw Avenue</t>
  </si>
  <si>
    <t>(419) 555-8472</t>
  </si>
  <si>
    <t>Karen</t>
  </si>
  <si>
    <t>Norden</t>
  </si>
  <si>
    <t>174 Latrobe Way</t>
  </si>
  <si>
    <t>(419) 555-9317</t>
  </si>
  <si>
    <t>First Name</t>
  </si>
  <si>
    <t>Last Name</t>
  </si>
  <si>
    <t>Street</t>
  </si>
  <si>
    <t>City</t>
  </si>
  <si>
    <t>State</t>
  </si>
  <si>
    <t>Postal Code</t>
  </si>
  <si>
    <t>Phone Number</t>
  </si>
  <si>
    <t>Pledge</t>
  </si>
  <si>
    <t>48532</t>
  </si>
  <si>
    <t>43229</t>
  </si>
  <si>
    <t>Donor ID</t>
  </si>
  <si>
    <t>Donors Table</t>
  </si>
  <si>
    <t>Payments Table</t>
  </si>
  <si>
    <t>Amount</t>
  </si>
  <si>
    <t>Terms and Definitions</t>
  </si>
  <si>
    <t>Definition</t>
  </si>
  <si>
    <t>ID number of the donor</t>
  </si>
  <si>
    <t>Donor first name</t>
  </si>
  <si>
    <t>Donor last name</t>
  </si>
  <si>
    <t>Street address of the donor</t>
  </si>
  <si>
    <t>City of residence for the donor</t>
  </si>
  <si>
    <t>State of residence for the donor</t>
  </si>
  <si>
    <t>Postal code for donor address</t>
  </si>
  <si>
    <t>Phone number for the donor</t>
  </si>
  <si>
    <t>Amount of the donor's pledge</t>
  </si>
  <si>
    <t>Field</t>
  </si>
  <si>
    <t>Date of donor payment</t>
  </si>
  <si>
    <t>Amount of donor payment</t>
  </si>
  <si>
    <t>Grand Total</t>
  </si>
  <si>
    <t>Total Pledged</t>
  </si>
  <si>
    <t>Total Collected</t>
  </si>
  <si>
    <t>Donors</t>
  </si>
  <si>
    <t>Paid in Full</t>
  </si>
  <si>
    <t>Paid in Full Percent</t>
  </si>
  <si>
    <t>Payments</t>
  </si>
  <si>
    <t>Pledged</t>
  </si>
  <si>
    <t>Paid</t>
  </si>
  <si>
    <t>Owed</t>
  </si>
  <si>
    <t>Total Paid</t>
  </si>
  <si>
    <t>Donor IDs</t>
  </si>
  <si>
    <t>Payment Form</t>
  </si>
  <si>
    <t>Pledge Tables</t>
  </si>
  <si>
    <t>Payment History</t>
  </si>
  <si>
    <t>Group</t>
  </si>
  <si>
    <t>Fully Paid Donors</t>
  </si>
  <si>
    <t>Measures</t>
  </si>
  <si>
    <t>Name</t>
  </si>
  <si>
    <t>Description</t>
  </si>
  <si>
    <t>Calculates that total number of donors who have paid their pledge in full</t>
  </si>
  <si>
    <t>Calculates the percentage of donors who have paid their pledge in full</t>
  </si>
  <si>
    <t>Calculates the total amount of payments made by donors</t>
  </si>
  <si>
    <t>Calculates the total amount pledged by donors</t>
  </si>
  <si>
    <t>Formula</t>
  </si>
  <si>
    <t>SUMX(Donors,if([Total Collected]=[Total Pledged],1,0))</t>
  </si>
  <si>
    <t>[Paid in Full]/[Count of Donor ID]</t>
  </si>
  <si>
    <t>SUM(Payments[Amount])</t>
  </si>
  <si>
    <t>SUMX(Donors,[Count of Donor ID]*[Pledge])</t>
  </si>
  <si>
    <t>Pledges</t>
  </si>
  <si>
    <t>Jorge Rivas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</si>
</sst>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\$#,##0;\(\$#,##0\);\$#,##0"/>
    <numFmt numFmtId="166" formatCode="0.00%;\-0.00%;0.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5" tint="-0.249977111117893"/>
      <name val="Aharoni"/>
    </font>
    <font>
      <sz val="11"/>
      <color theme="9" tint="-0.499984740745262"/>
      <name val="Calibri"/>
      <family val="2"/>
      <scheme val="minor"/>
    </font>
    <font>
      <sz val="20"/>
      <color theme="5" tint="-0.249977111117893"/>
      <name val="Aharoni"/>
    </font>
    <font>
      <sz val="14"/>
      <color theme="5" tint="-0.249977111117893"/>
      <name val="Calibri"/>
      <family val="2"/>
      <scheme val="minor"/>
    </font>
    <font>
      <i/>
      <sz val="12"/>
      <color theme="5" tint="-0.249977111117893"/>
      <name val="Calibri"/>
      <family val="2"/>
      <scheme val="minor"/>
    </font>
    <font>
      <sz val="20"/>
      <color theme="5" tint="-0.499984740745262"/>
      <name val="Aharoni"/>
    </font>
    <font>
      <sz val="20"/>
      <color theme="5"/>
      <name val="Aharoni"/>
    </font>
    <font>
      <sz val="20"/>
      <color theme="5" tint="0.39997558519241921"/>
      <name val="Aharoni"/>
    </font>
    <font>
      <sz val="11"/>
      <color theme="9" tint="-0.249977111117893"/>
      <name val="Calibri"/>
      <family val="2"/>
      <scheme val="minor"/>
    </font>
    <font>
      <sz val="12"/>
      <color theme="0"/>
      <name val="Aharoni"/>
    </font>
    <font>
      <sz val="20"/>
      <color theme="5" tint="-0.499984740745262"/>
      <name val="Calibri"/>
      <family val="2"/>
      <scheme val="minor"/>
    </font>
    <font>
      <sz val="20"/>
      <color theme="5" tint="-0.249977111117893"/>
      <name val="Calibri"/>
      <family val="2"/>
      <scheme val="minor"/>
    </font>
    <font>
      <sz val="20"/>
      <color theme="5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</cellStyleXfs>
  <cellXfs count="37">
    <xf numFmtId="0" fontId="0" fillId="0" borderId="0" xfId="0"/>
    <xf numFmtId="0" fontId="4" fillId="0" borderId="0" xfId="0" applyFont="1" applyFill="1" applyProtection="1"/>
    <xf numFmtId="0" fontId="3" fillId="5" borderId="1" xfId="2" applyFill="1" applyBorder="1" applyAlignment="1">
      <alignment horizontal="left" vertical="top"/>
    </xf>
    <xf numFmtId="0" fontId="5" fillId="0" borderId="1" xfId="0" applyFont="1" applyBorder="1" applyAlignment="1">
      <alignment horizontal="left" vertical="top" wrapText="1"/>
    </xf>
    <xf numFmtId="14" fontId="5" fillId="0" borderId="1" xfId="0" applyNumberFormat="1" applyFont="1" applyBorder="1" applyAlignment="1">
      <alignment horizontal="left" vertical="top" wrapText="1"/>
    </xf>
    <xf numFmtId="0" fontId="6" fillId="0" borderId="0" xfId="0" applyFont="1"/>
    <xf numFmtId="0" fontId="7" fillId="0" borderId="0" xfId="0" applyFont="1"/>
    <xf numFmtId="14" fontId="0" fillId="0" borderId="0" xfId="0" applyNumberFormat="1"/>
    <xf numFmtId="164" fontId="0" fillId="0" borderId="0" xfId="0" applyNumberFormat="1"/>
    <xf numFmtId="49" fontId="0" fillId="0" borderId="0" xfId="0" applyNumberFormat="1"/>
    <xf numFmtId="0" fontId="0" fillId="0" borderId="0" xfId="0" applyNumberFormat="1"/>
    <xf numFmtId="0" fontId="3" fillId="4" borderId="1" xfId="4" applyBorder="1" applyAlignment="1">
      <alignment horizontal="left" vertical="top" wrapText="1"/>
    </xf>
    <xf numFmtId="0" fontId="0" fillId="6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/>
    <xf numFmtId="0" fontId="8" fillId="0" borderId="0" xfId="1" applyFont="1"/>
    <xf numFmtId="0" fontId="0" fillId="0" borderId="0" xfId="0" pivotButton="1"/>
    <xf numFmtId="165" fontId="0" fillId="0" borderId="0" xfId="0" applyNumberFormat="1"/>
    <xf numFmtId="1" fontId="0" fillId="0" borderId="0" xfId="0" applyNumberFormat="1"/>
    <xf numFmtId="166" fontId="0" fillId="0" borderId="0" xfId="0" applyNumberFormat="1"/>
    <xf numFmtId="0" fontId="9" fillId="7" borderId="0" xfId="0" applyFont="1" applyFill="1" applyAlignment="1">
      <alignment horizontal="left"/>
    </xf>
    <xf numFmtId="0" fontId="0" fillId="7" borderId="0" xfId="0" applyFill="1"/>
    <xf numFmtId="0" fontId="10" fillId="7" borderId="2" xfId="0" applyFont="1" applyFill="1" applyBorder="1" applyAlignment="1">
      <alignment horizontal="left"/>
    </xf>
    <xf numFmtId="0" fontId="11" fillId="7" borderId="0" xfId="0" applyFont="1" applyFill="1" applyAlignment="1">
      <alignment horizontal="left"/>
    </xf>
    <xf numFmtId="0" fontId="1" fillId="3" borderId="1" xfId="3" applyBorder="1"/>
    <xf numFmtId="1" fontId="0" fillId="0" borderId="1" xfId="0" applyNumberFormat="1" applyBorder="1"/>
    <xf numFmtId="0" fontId="12" fillId="0" borderId="1" xfId="0" applyFont="1" applyBorder="1" applyAlignment="1">
      <alignment horizontal="left" vertical="top" wrapText="1"/>
    </xf>
    <xf numFmtId="0" fontId="13" fillId="8" borderId="0" xfId="0" applyFont="1" applyFill="1" applyAlignment="1">
      <alignment horizontal="center"/>
    </xf>
    <xf numFmtId="164" fontId="14" fillId="7" borderId="0" xfId="0" applyNumberFormat="1" applyFont="1" applyFill="1"/>
    <xf numFmtId="164" fontId="15" fillId="7" borderId="2" xfId="0" applyNumberFormat="1" applyFont="1" applyFill="1" applyBorder="1"/>
    <xf numFmtId="164" fontId="16" fillId="7" borderId="0" xfId="0" applyNumberFormat="1" applyFont="1" applyFill="1"/>
    <xf numFmtId="0" fontId="0" fillId="0" borderId="2" xfId="0" applyBorder="1"/>
    <xf numFmtId="164" fontId="0" fillId="0" borderId="2" xfId="0" applyNumberFormat="1" applyBorder="1"/>
    <xf numFmtId="0" fontId="9" fillId="7" borderId="0" xfId="0" applyFont="1" applyFill="1" applyAlignment="1">
      <alignment horizontal="left"/>
    </xf>
    <xf numFmtId="0" fontId="0" fillId="0" borderId="0" xfId="0" applyProtection="1">
      <protection locked="0"/>
    </xf>
    <xf numFmtId="14" fontId="0" fillId="0" borderId="1" xfId="0" applyNumberFormat="1" applyBorder="1" applyProtection="1">
      <protection locked="0"/>
    </xf>
    <xf numFmtId="164" fontId="0" fillId="0" borderId="1" xfId="0" applyNumberFormat="1" applyBorder="1" applyProtection="1">
      <protection locked="0"/>
    </xf>
  </cellXfs>
  <cellStyles count="5">
    <cellStyle name="60% - Accent2" xfId="3" builtinId="36"/>
    <cellStyle name="Accent1" xfId="2" builtinId="29"/>
    <cellStyle name="Accent6" xfId="4" builtinId="49"/>
    <cellStyle name="Explanatory Text" xfId="1" builtinId="53"/>
    <cellStyle name="Normal" xfId="0" builtinId="0"/>
  </cellStyles>
  <dxfs count="5">
    <dxf>
      <numFmt numFmtId="164" formatCode="&quot;$&quot;#,##0"/>
    </dxf>
    <dxf>
      <numFmt numFmtId="164" formatCode="&quot;$&quot;#,##0"/>
    </dxf>
    <dxf>
      <numFmt numFmtId="19" formatCode="m/d/yyyy"/>
    </dxf>
    <dxf>
      <numFmt numFmtId="30" formatCode="@"/>
    </dxf>
    <dxf>
      <numFmt numFmtId="164" formatCode="&quot;$&quot;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[NP_EX_12_Payments.xlsm]Payment History!Collection History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Pledge Payments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'Payment History'!$C$4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'Payment History'!$B$5:$B$171</c:f>
              <c:strCache>
                <c:ptCount val="167"/>
                <c:pt idx="0">
                  <c:v>4/5/2021</c:v>
                </c:pt>
                <c:pt idx="1">
                  <c:v>4/6/2021</c:v>
                </c:pt>
                <c:pt idx="2">
                  <c:v>4/7/2021</c:v>
                </c:pt>
                <c:pt idx="3">
                  <c:v>4/8/2021</c:v>
                </c:pt>
                <c:pt idx="4">
                  <c:v>4/10/2021</c:v>
                </c:pt>
                <c:pt idx="5">
                  <c:v>4/11/2021</c:v>
                </c:pt>
                <c:pt idx="6">
                  <c:v>4/12/2021</c:v>
                </c:pt>
                <c:pt idx="7">
                  <c:v>4/13/2021</c:v>
                </c:pt>
                <c:pt idx="8">
                  <c:v>4/14/2021</c:v>
                </c:pt>
                <c:pt idx="9">
                  <c:v>4/15/2021</c:v>
                </c:pt>
                <c:pt idx="10">
                  <c:v>4/16/2021</c:v>
                </c:pt>
                <c:pt idx="11">
                  <c:v>4/17/2021</c:v>
                </c:pt>
                <c:pt idx="12">
                  <c:v>4/18/2021</c:v>
                </c:pt>
                <c:pt idx="13">
                  <c:v>4/19/2021</c:v>
                </c:pt>
                <c:pt idx="14">
                  <c:v>4/20/2021</c:v>
                </c:pt>
                <c:pt idx="15">
                  <c:v>4/21/2021</c:v>
                </c:pt>
                <c:pt idx="16">
                  <c:v>4/22/2021</c:v>
                </c:pt>
                <c:pt idx="17">
                  <c:v>4/23/2021</c:v>
                </c:pt>
                <c:pt idx="18">
                  <c:v>4/25/2021</c:v>
                </c:pt>
                <c:pt idx="19">
                  <c:v>4/26/2021</c:v>
                </c:pt>
                <c:pt idx="20">
                  <c:v>4/27/2021</c:v>
                </c:pt>
                <c:pt idx="21">
                  <c:v>4/28/2021</c:v>
                </c:pt>
                <c:pt idx="22">
                  <c:v>4/29/2021</c:v>
                </c:pt>
                <c:pt idx="23">
                  <c:v>4/30/2021</c:v>
                </c:pt>
                <c:pt idx="24">
                  <c:v>5/1/2021</c:v>
                </c:pt>
                <c:pt idx="25">
                  <c:v>5/2/2021</c:v>
                </c:pt>
                <c:pt idx="26">
                  <c:v>5/3/2021</c:v>
                </c:pt>
                <c:pt idx="27">
                  <c:v>5/4/2021</c:v>
                </c:pt>
                <c:pt idx="28">
                  <c:v>5/5/2021</c:v>
                </c:pt>
                <c:pt idx="29">
                  <c:v>5/6/2021</c:v>
                </c:pt>
                <c:pt idx="30">
                  <c:v>5/7/2021</c:v>
                </c:pt>
                <c:pt idx="31">
                  <c:v>5/8/2021</c:v>
                </c:pt>
                <c:pt idx="32">
                  <c:v>5/9/2021</c:v>
                </c:pt>
                <c:pt idx="33">
                  <c:v>5/10/2021</c:v>
                </c:pt>
                <c:pt idx="34">
                  <c:v>5/11/2021</c:v>
                </c:pt>
                <c:pt idx="35">
                  <c:v>5/12/2021</c:v>
                </c:pt>
                <c:pt idx="36">
                  <c:v>5/13/2021</c:v>
                </c:pt>
                <c:pt idx="37">
                  <c:v>5/14/2021</c:v>
                </c:pt>
                <c:pt idx="38">
                  <c:v>5/15/2021</c:v>
                </c:pt>
                <c:pt idx="39">
                  <c:v>5/16/2021</c:v>
                </c:pt>
                <c:pt idx="40">
                  <c:v>5/17/2021</c:v>
                </c:pt>
                <c:pt idx="41">
                  <c:v>5/18/2021</c:v>
                </c:pt>
                <c:pt idx="42">
                  <c:v>5/19/2021</c:v>
                </c:pt>
                <c:pt idx="43">
                  <c:v>5/20/2021</c:v>
                </c:pt>
                <c:pt idx="44">
                  <c:v>5/21/2021</c:v>
                </c:pt>
                <c:pt idx="45">
                  <c:v>5/22/2021</c:v>
                </c:pt>
                <c:pt idx="46">
                  <c:v>5/23/2021</c:v>
                </c:pt>
                <c:pt idx="47">
                  <c:v>5/24/2021</c:v>
                </c:pt>
                <c:pt idx="48">
                  <c:v>5/25/2021</c:v>
                </c:pt>
                <c:pt idx="49">
                  <c:v>5/26/2021</c:v>
                </c:pt>
                <c:pt idx="50">
                  <c:v>5/27/2021</c:v>
                </c:pt>
                <c:pt idx="51">
                  <c:v>5/28/2021</c:v>
                </c:pt>
                <c:pt idx="52">
                  <c:v>5/29/2021</c:v>
                </c:pt>
                <c:pt idx="53">
                  <c:v>5/30/2021</c:v>
                </c:pt>
                <c:pt idx="54">
                  <c:v>5/31/2021</c:v>
                </c:pt>
                <c:pt idx="55">
                  <c:v>6/1/2021</c:v>
                </c:pt>
                <c:pt idx="56">
                  <c:v>6/2/2021</c:v>
                </c:pt>
                <c:pt idx="57">
                  <c:v>6/3/2021</c:v>
                </c:pt>
                <c:pt idx="58">
                  <c:v>6/4/2021</c:v>
                </c:pt>
                <c:pt idx="59">
                  <c:v>6/5/2021</c:v>
                </c:pt>
                <c:pt idx="60">
                  <c:v>6/6/2021</c:v>
                </c:pt>
                <c:pt idx="61">
                  <c:v>6/7/2021</c:v>
                </c:pt>
                <c:pt idx="62">
                  <c:v>6/8/2021</c:v>
                </c:pt>
                <c:pt idx="63">
                  <c:v>6/9/2021</c:v>
                </c:pt>
                <c:pt idx="64">
                  <c:v>6/10/2021</c:v>
                </c:pt>
                <c:pt idx="65">
                  <c:v>6/11/2021</c:v>
                </c:pt>
                <c:pt idx="66">
                  <c:v>6/12/2021</c:v>
                </c:pt>
                <c:pt idx="67">
                  <c:v>6/13/2021</c:v>
                </c:pt>
                <c:pt idx="68">
                  <c:v>6/14/2021</c:v>
                </c:pt>
                <c:pt idx="69">
                  <c:v>6/15/2021</c:v>
                </c:pt>
                <c:pt idx="70">
                  <c:v>6/16/2021</c:v>
                </c:pt>
                <c:pt idx="71">
                  <c:v>6/17/2021</c:v>
                </c:pt>
                <c:pt idx="72">
                  <c:v>6/18/2021</c:v>
                </c:pt>
                <c:pt idx="73">
                  <c:v>6/19/2021</c:v>
                </c:pt>
                <c:pt idx="74">
                  <c:v>6/20/2021</c:v>
                </c:pt>
                <c:pt idx="75">
                  <c:v>6/21/2021</c:v>
                </c:pt>
                <c:pt idx="76">
                  <c:v>6/22/2021</c:v>
                </c:pt>
                <c:pt idx="77">
                  <c:v>6/23/2021</c:v>
                </c:pt>
                <c:pt idx="78">
                  <c:v>6/24/2021</c:v>
                </c:pt>
                <c:pt idx="79">
                  <c:v>6/25/2021</c:v>
                </c:pt>
                <c:pt idx="80">
                  <c:v>6/26/2021</c:v>
                </c:pt>
                <c:pt idx="81">
                  <c:v>6/27/2021</c:v>
                </c:pt>
                <c:pt idx="82">
                  <c:v>6/28/2021</c:v>
                </c:pt>
                <c:pt idx="83">
                  <c:v>6/30/2021</c:v>
                </c:pt>
                <c:pt idx="84">
                  <c:v>7/1/2021</c:v>
                </c:pt>
                <c:pt idx="85">
                  <c:v>7/2/2021</c:v>
                </c:pt>
                <c:pt idx="86">
                  <c:v>7/3/2021</c:v>
                </c:pt>
                <c:pt idx="87">
                  <c:v>7/4/2021</c:v>
                </c:pt>
                <c:pt idx="88">
                  <c:v>7/5/2021</c:v>
                </c:pt>
                <c:pt idx="89">
                  <c:v>7/6/2021</c:v>
                </c:pt>
                <c:pt idx="90">
                  <c:v>7/7/2021</c:v>
                </c:pt>
                <c:pt idx="91">
                  <c:v>7/8/2021</c:v>
                </c:pt>
                <c:pt idx="92">
                  <c:v>7/9/2021</c:v>
                </c:pt>
                <c:pt idx="93">
                  <c:v>7/10/2021</c:v>
                </c:pt>
                <c:pt idx="94">
                  <c:v>7/11/2021</c:v>
                </c:pt>
                <c:pt idx="95">
                  <c:v>7/12/2021</c:v>
                </c:pt>
                <c:pt idx="96">
                  <c:v>7/13/2021</c:v>
                </c:pt>
                <c:pt idx="97">
                  <c:v>7/14/2021</c:v>
                </c:pt>
                <c:pt idx="98">
                  <c:v>7/15/2021</c:v>
                </c:pt>
                <c:pt idx="99">
                  <c:v>7/16/2021</c:v>
                </c:pt>
                <c:pt idx="100">
                  <c:v>7/17/2021</c:v>
                </c:pt>
                <c:pt idx="101">
                  <c:v>7/18/2021</c:v>
                </c:pt>
                <c:pt idx="102">
                  <c:v>7/19/2021</c:v>
                </c:pt>
                <c:pt idx="103">
                  <c:v>7/20/2021</c:v>
                </c:pt>
                <c:pt idx="104">
                  <c:v>7/22/2021</c:v>
                </c:pt>
                <c:pt idx="105">
                  <c:v>7/23/2021</c:v>
                </c:pt>
                <c:pt idx="106">
                  <c:v>7/24/2021</c:v>
                </c:pt>
                <c:pt idx="107">
                  <c:v>7/25/2021</c:v>
                </c:pt>
                <c:pt idx="108">
                  <c:v>7/26/2021</c:v>
                </c:pt>
                <c:pt idx="109">
                  <c:v>7/27/2021</c:v>
                </c:pt>
                <c:pt idx="110">
                  <c:v>7/28/2021</c:v>
                </c:pt>
                <c:pt idx="111">
                  <c:v>7/29/2021</c:v>
                </c:pt>
                <c:pt idx="112">
                  <c:v>7/30/2021</c:v>
                </c:pt>
                <c:pt idx="113">
                  <c:v>7/31/2021</c:v>
                </c:pt>
                <c:pt idx="114">
                  <c:v>8/1/2021</c:v>
                </c:pt>
                <c:pt idx="115">
                  <c:v>8/2/2021</c:v>
                </c:pt>
                <c:pt idx="116">
                  <c:v>8/3/2021</c:v>
                </c:pt>
                <c:pt idx="117">
                  <c:v>8/4/2021</c:v>
                </c:pt>
                <c:pt idx="118">
                  <c:v>8/5/2021</c:v>
                </c:pt>
                <c:pt idx="119">
                  <c:v>8/6/2021</c:v>
                </c:pt>
                <c:pt idx="120">
                  <c:v>8/7/2021</c:v>
                </c:pt>
                <c:pt idx="121">
                  <c:v>8/8/2021</c:v>
                </c:pt>
                <c:pt idx="122">
                  <c:v>8/9/2021</c:v>
                </c:pt>
                <c:pt idx="123">
                  <c:v>8/10/2021</c:v>
                </c:pt>
                <c:pt idx="124">
                  <c:v>8/11/2021</c:v>
                </c:pt>
                <c:pt idx="125">
                  <c:v>8/12/2021</c:v>
                </c:pt>
                <c:pt idx="126">
                  <c:v>8/13/2021</c:v>
                </c:pt>
                <c:pt idx="127">
                  <c:v>8/14/2021</c:v>
                </c:pt>
                <c:pt idx="128">
                  <c:v>8/15/2021</c:v>
                </c:pt>
                <c:pt idx="129">
                  <c:v>8/16/2021</c:v>
                </c:pt>
                <c:pt idx="130">
                  <c:v>8/17/2021</c:v>
                </c:pt>
                <c:pt idx="131">
                  <c:v>8/18/2021</c:v>
                </c:pt>
                <c:pt idx="132">
                  <c:v>8/19/2021</c:v>
                </c:pt>
                <c:pt idx="133">
                  <c:v>8/20/2021</c:v>
                </c:pt>
                <c:pt idx="134">
                  <c:v>8/21/2021</c:v>
                </c:pt>
                <c:pt idx="135">
                  <c:v>8/22/2021</c:v>
                </c:pt>
                <c:pt idx="136">
                  <c:v>8/23/2021</c:v>
                </c:pt>
                <c:pt idx="137">
                  <c:v>8/24/2021</c:v>
                </c:pt>
                <c:pt idx="138">
                  <c:v>8/25/2021</c:v>
                </c:pt>
                <c:pt idx="139">
                  <c:v>8/26/2021</c:v>
                </c:pt>
                <c:pt idx="140">
                  <c:v>8/27/2021</c:v>
                </c:pt>
                <c:pt idx="141">
                  <c:v>8/28/2021</c:v>
                </c:pt>
                <c:pt idx="142">
                  <c:v>8/29/2021</c:v>
                </c:pt>
                <c:pt idx="143">
                  <c:v>8/30/2021</c:v>
                </c:pt>
                <c:pt idx="144">
                  <c:v>8/31/2021</c:v>
                </c:pt>
                <c:pt idx="145">
                  <c:v>9/1/2021</c:v>
                </c:pt>
                <c:pt idx="146">
                  <c:v>9/2/2021</c:v>
                </c:pt>
                <c:pt idx="147">
                  <c:v>9/3/2021</c:v>
                </c:pt>
                <c:pt idx="148">
                  <c:v>9/4/2021</c:v>
                </c:pt>
                <c:pt idx="149">
                  <c:v>9/5/2021</c:v>
                </c:pt>
                <c:pt idx="150">
                  <c:v>9/6/2021</c:v>
                </c:pt>
                <c:pt idx="151">
                  <c:v>9/7/2021</c:v>
                </c:pt>
                <c:pt idx="152">
                  <c:v>9/8/2021</c:v>
                </c:pt>
                <c:pt idx="153">
                  <c:v>9/9/2021</c:v>
                </c:pt>
                <c:pt idx="154">
                  <c:v>9/10/2021</c:v>
                </c:pt>
                <c:pt idx="155">
                  <c:v>9/11/2021</c:v>
                </c:pt>
                <c:pt idx="156">
                  <c:v>9/12/2021</c:v>
                </c:pt>
                <c:pt idx="157">
                  <c:v>9/13/2021</c:v>
                </c:pt>
                <c:pt idx="158">
                  <c:v>9/14/2021</c:v>
                </c:pt>
                <c:pt idx="159">
                  <c:v>9/15/2021</c:v>
                </c:pt>
                <c:pt idx="160">
                  <c:v>9/16/2021</c:v>
                </c:pt>
                <c:pt idx="161">
                  <c:v>9/17/2021</c:v>
                </c:pt>
                <c:pt idx="162">
                  <c:v>9/18/2021</c:v>
                </c:pt>
                <c:pt idx="163">
                  <c:v>9/19/2021</c:v>
                </c:pt>
                <c:pt idx="164">
                  <c:v>9/20/2021</c:v>
                </c:pt>
                <c:pt idx="165">
                  <c:v>9/25/2021</c:v>
                </c:pt>
                <c:pt idx="166">
                  <c:v>9/26/2021</c:v>
                </c:pt>
              </c:strCache>
            </c:strRef>
          </c:cat>
          <c:val>
            <c:numRef>
              <c:f>'Payment History'!$C$5:$C$171</c:f>
              <c:numCache>
                <c:formatCode>\$#,##0;\(\$#,##0\);\$#,##0</c:formatCode>
                <c:ptCount val="167"/>
                <c:pt idx="0">
                  <c:v>6250</c:v>
                </c:pt>
                <c:pt idx="1">
                  <c:v>7260</c:v>
                </c:pt>
                <c:pt idx="2">
                  <c:v>10830</c:v>
                </c:pt>
                <c:pt idx="3">
                  <c:v>14080</c:v>
                </c:pt>
                <c:pt idx="4">
                  <c:v>14460</c:v>
                </c:pt>
                <c:pt idx="5">
                  <c:v>15720</c:v>
                </c:pt>
                <c:pt idx="6">
                  <c:v>25720</c:v>
                </c:pt>
                <c:pt idx="7">
                  <c:v>89720</c:v>
                </c:pt>
                <c:pt idx="8">
                  <c:v>90720</c:v>
                </c:pt>
                <c:pt idx="9">
                  <c:v>91350</c:v>
                </c:pt>
                <c:pt idx="10">
                  <c:v>96600</c:v>
                </c:pt>
                <c:pt idx="11">
                  <c:v>97600</c:v>
                </c:pt>
                <c:pt idx="12">
                  <c:v>98860</c:v>
                </c:pt>
                <c:pt idx="13">
                  <c:v>99110</c:v>
                </c:pt>
                <c:pt idx="14">
                  <c:v>99360</c:v>
                </c:pt>
                <c:pt idx="15">
                  <c:v>101610</c:v>
                </c:pt>
                <c:pt idx="16">
                  <c:v>107360</c:v>
                </c:pt>
                <c:pt idx="17">
                  <c:v>108360</c:v>
                </c:pt>
                <c:pt idx="18">
                  <c:v>108860</c:v>
                </c:pt>
                <c:pt idx="19">
                  <c:v>109610</c:v>
                </c:pt>
                <c:pt idx="20">
                  <c:v>112240</c:v>
                </c:pt>
                <c:pt idx="21">
                  <c:v>112490</c:v>
                </c:pt>
                <c:pt idx="22">
                  <c:v>113620</c:v>
                </c:pt>
                <c:pt idx="23">
                  <c:v>114620</c:v>
                </c:pt>
                <c:pt idx="24">
                  <c:v>125250</c:v>
                </c:pt>
                <c:pt idx="25">
                  <c:v>125780</c:v>
                </c:pt>
                <c:pt idx="26">
                  <c:v>127530</c:v>
                </c:pt>
                <c:pt idx="27">
                  <c:v>128160</c:v>
                </c:pt>
                <c:pt idx="28">
                  <c:v>191660</c:v>
                </c:pt>
                <c:pt idx="29">
                  <c:v>192660</c:v>
                </c:pt>
                <c:pt idx="30">
                  <c:v>193410</c:v>
                </c:pt>
                <c:pt idx="31">
                  <c:v>198660</c:v>
                </c:pt>
                <c:pt idx="32">
                  <c:v>199160</c:v>
                </c:pt>
                <c:pt idx="33">
                  <c:v>202410</c:v>
                </c:pt>
                <c:pt idx="34">
                  <c:v>202660</c:v>
                </c:pt>
                <c:pt idx="35">
                  <c:v>207660</c:v>
                </c:pt>
                <c:pt idx="36">
                  <c:v>208010</c:v>
                </c:pt>
                <c:pt idx="37">
                  <c:v>211760</c:v>
                </c:pt>
                <c:pt idx="38">
                  <c:v>212010</c:v>
                </c:pt>
                <c:pt idx="39">
                  <c:v>212640</c:v>
                </c:pt>
                <c:pt idx="40">
                  <c:v>218140</c:v>
                </c:pt>
                <c:pt idx="41">
                  <c:v>218770</c:v>
                </c:pt>
                <c:pt idx="42">
                  <c:v>219020</c:v>
                </c:pt>
                <c:pt idx="43">
                  <c:v>219050</c:v>
                </c:pt>
                <c:pt idx="44">
                  <c:v>271300</c:v>
                </c:pt>
                <c:pt idx="45">
                  <c:v>272550</c:v>
                </c:pt>
                <c:pt idx="46">
                  <c:v>275800</c:v>
                </c:pt>
                <c:pt idx="47">
                  <c:v>276200</c:v>
                </c:pt>
                <c:pt idx="48">
                  <c:v>427140</c:v>
                </c:pt>
                <c:pt idx="49">
                  <c:v>428490</c:v>
                </c:pt>
                <c:pt idx="50">
                  <c:v>432060</c:v>
                </c:pt>
                <c:pt idx="51">
                  <c:v>432560</c:v>
                </c:pt>
                <c:pt idx="52">
                  <c:v>434810</c:v>
                </c:pt>
                <c:pt idx="53">
                  <c:v>435960</c:v>
                </c:pt>
                <c:pt idx="54">
                  <c:v>436460</c:v>
                </c:pt>
                <c:pt idx="55">
                  <c:v>437235</c:v>
                </c:pt>
                <c:pt idx="56">
                  <c:v>442810</c:v>
                </c:pt>
                <c:pt idx="57">
                  <c:v>444810</c:v>
                </c:pt>
                <c:pt idx="58">
                  <c:v>597590</c:v>
                </c:pt>
                <c:pt idx="59">
                  <c:v>598690</c:v>
                </c:pt>
                <c:pt idx="60">
                  <c:v>599575</c:v>
                </c:pt>
                <c:pt idx="61">
                  <c:v>605075</c:v>
                </c:pt>
                <c:pt idx="62">
                  <c:v>606325</c:v>
                </c:pt>
                <c:pt idx="63">
                  <c:v>610980</c:v>
                </c:pt>
                <c:pt idx="64">
                  <c:v>611760</c:v>
                </c:pt>
                <c:pt idx="65">
                  <c:v>612660</c:v>
                </c:pt>
                <c:pt idx="66">
                  <c:v>614160</c:v>
                </c:pt>
                <c:pt idx="67">
                  <c:v>614810</c:v>
                </c:pt>
                <c:pt idx="68">
                  <c:v>614885</c:v>
                </c:pt>
                <c:pt idx="69">
                  <c:v>617185</c:v>
                </c:pt>
                <c:pt idx="70">
                  <c:v>619065</c:v>
                </c:pt>
                <c:pt idx="71">
                  <c:v>621515</c:v>
                </c:pt>
                <c:pt idx="72">
                  <c:v>621790</c:v>
                </c:pt>
                <c:pt idx="73">
                  <c:v>622290</c:v>
                </c:pt>
                <c:pt idx="74">
                  <c:v>623420</c:v>
                </c:pt>
                <c:pt idx="75">
                  <c:v>631930</c:v>
                </c:pt>
                <c:pt idx="76">
                  <c:v>632930</c:v>
                </c:pt>
                <c:pt idx="77">
                  <c:v>635460</c:v>
                </c:pt>
                <c:pt idx="78">
                  <c:v>639885</c:v>
                </c:pt>
                <c:pt idx="79">
                  <c:v>642310</c:v>
                </c:pt>
                <c:pt idx="80">
                  <c:v>642440</c:v>
                </c:pt>
                <c:pt idx="81">
                  <c:v>644965</c:v>
                </c:pt>
                <c:pt idx="82">
                  <c:v>650415</c:v>
                </c:pt>
                <c:pt idx="83">
                  <c:v>655265</c:v>
                </c:pt>
                <c:pt idx="84">
                  <c:v>656240</c:v>
                </c:pt>
                <c:pt idx="85">
                  <c:v>657840</c:v>
                </c:pt>
                <c:pt idx="86">
                  <c:v>658265</c:v>
                </c:pt>
                <c:pt idx="87">
                  <c:v>659015</c:v>
                </c:pt>
                <c:pt idx="88">
                  <c:v>659190</c:v>
                </c:pt>
                <c:pt idx="89">
                  <c:v>666865</c:v>
                </c:pt>
                <c:pt idx="90">
                  <c:v>669270</c:v>
                </c:pt>
                <c:pt idx="91">
                  <c:v>671770</c:v>
                </c:pt>
                <c:pt idx="92">
                  <c:v>673120</c:v>
                </c:pt>
                <c:pt idx="93">
                  <c:v>673620</c:v>
                </c:pt>
                <c:pt idx="94">
                  <c:v>684545</c:v>
                </c:pt>
                <c:pt idx="95">
                  <c:v>685445</c:v>
                </c:pt>
                <c:pt idx="96">
                  <c:v>685770</c:v>
                </c:pt>
                <c:pt idx="97">
                  <c:v>687145</c:v>
                </c:pt>
                <c:pt idx="98">
                  <c:v>689145</c:v>
                </c:pt>
                <c:pt idx="99">
                  <c:v>699645</c:v>
                </c:pt>
                <c:pt idx="100">
                  <c:v>701495</c:v>
                </c:pt>
                <c:pt idx="101">
                  <c:v>701995</c:v>
                </c:pt>
                <c:pt idx="102">
                  <c:v>702495</c:v>
                </c:pt>
                <c:pt idx="103">
                  <c:v>703745</c:v>
                </c:pt>
                <c:pt idx="104">
                  <c:v>709045</c:v>
                </c:pt>
                <c:pt idx="105">
                  <c:v>709545</c:v>
                </c:pt>
                <c:pt idx="106">
                  <c:v>709795</c:v>
                </c:pt>
                <c:pt idx="107">
                  <c:v>710725</c:v>
                </c:pt>
                <c:pt idx="108">
                  <c:v>711725</c:v>
                </c:pt>
                <c:pt idx="109">
                  <c:v>739480</c:v>
                </c:pt>
                <c:pt idx="110">
                  <c:v>741305</c:v>
                </c:pt>
                <c:pt idx="111">
                  <c:v>761555</c:v>
                </c:pt>
                <c:pt idx="112">
                  <c:v>763305</c:v>
                </c:pt>
                <c:pt idx="113">
                  <c:v>766890</c:v>
                </c:pt>
                <c:pt idx="114">
                  <c:v>767765</c:v>
                </c:pt>
                <c:pt idx="115">
                  <c:v>772265</c:v>
                </c:pt>
                <c:pt idx="116">
                  <c:v>775315</c:v>
                </c:pt>
                <c:pt idx="117">
                  <c:v>779515</c:v>
                </c:pt>
                <c:pt idx="118">
                  <c:v>784815</c:v>
                </c:pt>
                <c:pt idx="119">
                  <c:v>786815</c:v>
                </c:pt>
                <c:pt idx="120">
                  <c:v>809765</c:v>
                </c:pt>
                <c:pt idx="121">
                  <c:v>811765</c:v>
                </c:pt>
                <c:pt idx="122">
                  <c:v>812515</c:v>
                </c:pt>
                <c:pt idx="123">
                  <c:v>816615</c:v>
                </c:pt>
                <c:pt idx="124">
                  <c:v>867665</c:v>
                </c:pt>
                <c:pt idx="125">
                  <c:v>867940</c:v>
                </c:pt>
                <c:pt idx="126">
                  <c:v>869090</c:v>
                </c:pt>
                <c:pt idx="127">
                  <c:v>869665</c:v>
                </c:pt>
                <c:pt idx="128">
                  <c:v>870940</c:v>
                </c:pt>
                <c:pt idx="129">
                  <c:v>874465</c:v>
                </c:pt>
                <c:pt idx="130">
                  <c:v>887840</c:v>
                </c:pt>
                <c:pt idx="131">
                  <c:v>889240</c:v>
                </c:pt>
                <c:pt idx="132">
                  <c:v>889620</c:v>
                </c:pt>
                <c:pt idx="133">
                  <c:v>892950</c:v>
                </c:pt>
                <c:pt idx="134">
                  <c:v>894500</c:v>
                </c:pt>
                <c:pt idx="135">
                  <c:v>904875</c:v>
                </c:pt>
                <c:pt idx="136">
                  <c:v>905275</c:v>
                </c:pt>
                <c:pt idx="137">
                  <c:v>906050</c:v>
                </c:pt>
                <c:pt idx="138">
                  <c:v>906300</c:v>
                </c:pt>
                <c:pt idx="139">
                  <c:v>906955</c:v>
                </c:pt>
                <c:pt idx="140">
                  <c:v>914205</c:v>
                </c:pt>
                <c:pt idx="141">
                  <c:v>916430</c:v>
                </c:pt>
                <c:pt idx="142">
                  <c:v>917685</c:v>
                </c:pt>
                <c:pt idx="143">
                  <c:v>920215</c:v>
                </c:pt>
                <c:pt idx="144">
                  <c:v>921240</c:v>
                </c:pt>
                <c:pt idx="145">
                  <c:v>922590</c:v>
                </c:pt>
                <c:pt idx="146">
                  <c:v>925265</c:v>
                </c:pt>
                <c:pt idx="147">
                  <c:v>925290</c:v>
                </c:pt>
                <c:pt idx="148">
                  <c:v>938865</c:v>
                </c:pt>
                <c:pt idx="149">
                  <c:v>939365</c:v>
                </c:pt>
                <c:pt idx="150">
                  <c:v>941495</c:v>
                </c:pt>
                <c:pt idx="151">
                  <c:v>945245</c:v>
                </c:pt>
                <c:pt idx="152">
                  <c:v>946570</c:v>
                </c:pt>
                <c:pt idx="153">
                  <c:v>949220</c:v>
                </c:pt>
                <c:pt idx="154">
                  <c:v>952520</c:v>
                </c:pt>
                <c:pt idx="155">
                  <c:v>960770</c:v>
                </c:pt>
                <c:pt idx="156">
                  <c:v>1157395</c:v>
                </c:pt>
                <c:pt idx="157">
                  <c:v>1160145</c:v>
                </c:pt>
                <c:pt idx="158">
                  <c:v>1163245</c:v>
                </c:pt>
                <c:pt idx="159">
                  <c:v>1165970</c:v>
                </c:pt>
                <c:pt idx="160">
                  <c:v>1166045</c:v>
                </c:pt>
                <c:pt idx="161">
                  <c:v>1166245</c:v>
                </c:pt>
                <c:pt idx="162">
                  <c:v>1228845</c:v>
                </c:pt>
                <c:pt idx="163">
                  <c:v>1238970</c:v>
                </c:pt>
                <c:pt idx="164">
                  <c:v>1239370</c:v>
                </c:pt>
                <c:pt idx="165">
                  <c:v>1246120</c:v>
                </c:pt>
                <c:pt idx="166">
                  <c:v>1256120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6-4ABD-93BD-296CBFB86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803056"/>
        <c:axId val="1626646800"/>
      </c:lineChart>
      <c:catAx>
        <c:axId val="19380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646800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16266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#,##0;\(\$#,##0\);\$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0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Pledges</a:t>
            </a:r>
          </a:p>
        </c:rich>
      </c:tx>
      <c:layout>
        <c:manualLayout>
          <c:xMode val="edge"/>
          <c:yMode val="edge"/>
          <c:x val="0.2373766672409206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4886291854617"/>
          <c:y val="0.14835548835128651"/>
          <c:w val="0.66858162785764597"/>
          <c:h val="0.81534277273825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48CE-4FF3-A41F-6C8CEE9B2ED4}"/>
              </c:ext>
            </c:extLst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8CE-4FF3-A41F-6C8CEE9B2ED4}"/>
              </c:ext>
            </c:extLst>
          </c:dPt>
          <c:dLbls>
            <c:dLbl>
              <c:idx val="0"/>
              <c:layout>
                <c:manualLayout>
                  <c:x val="-0.1960648148148148"/>
                  <c:y val="-0.16381689268008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bg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320543812521823"/>
                      <c:h val="0.548185205528257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8CE-4FF3-A41F-6C8CEE9B2ED4}"/>
                </c:ext>
              </c:extLst>
            </c:dLbl>
            <c:dLbl>
              <c:idx val="1"/>
              <c:layout>
                <c:manualLayout>
                  <c:x val="0.10705441333722172"/>
                  <c:y val="0.1117040925439875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565542151267786"/>
                      <c:h val="0.460204167470767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8CE-4FF3-A41F-6C8CEE9B2ED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Summary!$E$4:$F$5</c:f>
              <c:strCache>
                <c:ptCount val="2"/>
                <c:pt idx="0">
                  <c:v>Paid</c:v>
                </c:pt>
                <c:pt idx="1">
                  <c:v>Owed</c:v>
                </c:pt>
              </c:strCache>
            </c:strRef>
          </c:cat>
          <c:val>
            <c:numRef>
              <c:f>Summary!$H$4:$H$5</c:f>
              <c:numCache>
                <c:formatCode>"$"#,##0</c:formatCode>
                <c:ptCount val="2"/>
                <c:pt idx="0">
                  <c:v>1256120</c:v>
                </c:pt>
                <c:pt idx="1">
                  <c:v>828380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CE-4FF3-A41F-6C8CEE9B2ED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Donors</a:t>
            </a:r>
          </a:p>
        </c:rich>
      </c:tx>
      <c:layout>
        <c:manualLayout>
          <c:xMode val="edge"/>
          <c:yMode val="edge"/>
          <c:x val="0.2373766672409206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024886291854617"/>
          <c:y val="0.14835548835128651"/>
          <c:w val="0.66858162785764597"/>
          <c:h val="0.81534277273825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A6C-4D0F-9707-173ED0808467}"/>
              </c:ext>
            </c:extLst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A6C-4D0F-9707-173ED0808467}"/>
              </c:ext>
            </c:extLst>
          </c:dPt>
          <c:dLbls>
            <c:dLbl>
              <c:idx val="0"/>
              <c:layout>
                <c:manualLayout>
                  <c:x val="-0.1960648148148148"/>
                  <c:y val="-0.16381689268008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bg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320543812521823"/>
                      <c:h val="0.548185205528257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7A6C-4D0F-9707-173ED0808467}"/>
                </c:ext>
              </c:extLst>
            </c:dLbl>
            <c:dLbl>
              <c:idx val="1"/>
              <c:layout>
                <c:manualLayout>
                  <c:x val="0.10705464381515857"/>
                  <c:y val="0.1968105210252973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565542151267786"/>
                      <c:h val="0.460204167470767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7A6C-4D0F-9707-173ED080846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Summary!$E$4:$E$5</c:f>
              <c:strCache>
                <c:ptCount val="2"/>
                <c:pt idx="0">
                  <c:v>Paid</c:v>
                </c:pt>
                <c:pt idx="1">
                  <c:v>Owed</c:v>
                </c:pt>
              </c:strCache>
            </c:strRef>
          </c:cat>
          <c:val>
            <c:numRef>
              <c:f>Summary!$G$4:$G$5</c:f>
              <c:numCache>
                <c:formatCode>General</c:formatCode>
                <c:ptCount val="2"/>
                <c:pt idx="0">
                  <c:v>297</c:v>
                </c:pt>
                <c:pt idx="1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6C-4D0F-9707-173ED08084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title pos="t" align="ctr" overlay="0">
      <cx:tx>
        <cx:txData>
          <cx:v>Fully Paid Donors by Donation Level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Fully Paid Donors by Donation Level</a:t>
          </a:r>
        </a:p>
      </cx:txPr>
    </cx:title>
    <cx:plotArea>
      <cx:plotAreaRegion>
        <cx:series layoutId="funnel" uniqueId="{F211ECAE-1A64-4436-9DA1-0B137FA0DC92}">
          <cx:tx>
            <cx:txData>
              <cx:f>_xlchart.v2.1</cx:f>
              <cx:v>Fully Paid Donors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25956</xdr:rowOff>
    </xdr:from>
    <xdr:ext cx="4223464" cy="53065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40CA552-BECE-4255-BE7C-C2A22114AB20}"/>
            </a:ext>
          </a:extLst>
        </xdr:cNvPr>
        <xdr:cNvSpPr/>
      </xdr:nvSpPr>
      <xdr:spPr>
        <a:xfrm>
          <a:off x="0" y="25956"/>
          <a:ext cx="4223464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Primrose Community Clinic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222251</xdr:colOff>
      <xdr:row>7</xdr:row>
      <xdr:rowOff>1</xdr:rowOff>
    </xdr:from>
    <xdr:to>
      <xdr:col>6</xdr:col>
      <xdr:colOff>1</xdr:colOff>
      <xdr:row>20</xdr:row>
      <xdr:rowOff>7939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70CE1B-2FE4-47C7-8EED-0E1EBFAFD2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349249</xdr:colOff>
      <xdr:row>0</xdr:row>
      <xdr:rowOff>108743</xdr:rowOff>
    </xdr:from>
    <xdr:to>
      <xdr:col>12</xdr:col>
      <xdr:colOff>599058</xdr:colOff>
      <xdr:row>6</xdr:row>
      <xdr:rowOff>23813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9906C-73C8-4454-80F2-AE69576364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103190</xdr:colOff>
      <xdr:row>0</xdr:row>
      <xdr:rowOff>111125</xdr:rowOff>
    </xdr:from>
    <xdr:to>
      <xdr:col>10</xdr:col>
      <xdr:colOff>349252</xdr:colOff>
      <xdr:row>6</xdr:row>
      <xdr:rowOff>23812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FD1E00E-A520-4F11-A5AF-98DA9A062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269875</xdr:colOff>
      <xdr:row>1</xdr:row>
      <xdr:rowOff>0</xdr:rowOff>
    </xdr:from>
    <xdr:ext cx="1828800" cy="1828800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ABAAEB98-9243-40EF-9DD1-D6C120869133}"/>
            </a:ext>
          </a:extLst>
        </xdr:cNvPr>
        <xdr:cNvSpPr/>
      </xdr:nvSpPr>
      <xdr:spPr>
        <a:xfrm>
          <a:off x="269875" y="190500"/>
          <a:ext cx="1828800" cy="1828800"/>
        </a:xfrm>
        <a:prstGeom prst="rect">
          <a:avLst/>
        </a:prstGeom>
        <a:noFill/>
      </xdr:spPr>
      <xdr:txBody>
        <a:bodyPr wrap="none" lIns="91440" tIns="45720" rIns="91440" bIns="45720">
          <a:prstTxWarp prst="textArchUp">
            <a:avLst/>
          </a:prstTxWarp>
          <a:spAutoFit/>
        </a:bodyPr>
        <a:lstStyle/>
        <a:p>
          <a:pPr algn="ctr"/>
          <a:r>
            <a:rPr lang="en-US" sz="2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Primrose Community Clinic</a:t>
          </a:r>
        </a:p>
      </xdr:txBody>
    </xdr:sp>
    <xdr:clientData/>
  </xdr:oneCellAnchor>
  <xdr:oneCellAnchor>
    <xdr:from>
      <xdr:col>0</xdr:col>
      <xdr:colOff>349250</xdr:colOff>
      <xdr:row>2</xdr:row>
      <xdr:rowOff>174625</xdr:rowOff>
    </xdr:from>
    <xdr:ext cx="1739322" cy="530658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B77E73B-A9C4-4C63-BD60-2AF093BFB10B}"/>
            </a:ext>
          </a:extLst>
        </xdr:cNvPr>
        <xdr:cNvSpPr/>
      </xdr:nvSpPr>
      <xdr:spPr>
        <a:xfrm>
          <a:off x="349250" y="698500"/>
          <a:ext cx="1739322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Fundraiser</a:t>
          </a:r>
        </a:p>
      </xdr:txBody>
    </xdr:sp>
    <xdr:clientData/>
  </xdr:oneCellAnchor>
  <xdr:twoCellAnchor>
    <xdr:from>
      <xdr:col>6</xdr:col>
      <xdr:colOff>576790</xdr:colOff>
      <xdr:row>7</xdr:row>
      <xdr:rowOff>0</xdr:rowOff>
    </xdr:from>
    <xdr:to>
      <xdr:col>12</xdr:col>
      <xdr:colOff>640291</xdr:colOff>
      <xdr:row>20</xdr:row>
      <xdr:rowOff>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4" name="Chart 1">
              <a:extLst>
                <a:ext uri="{FF2B5EF4-FFF2-40B4-BE49-F238E27FC236}">
                  <a16:creationId xmlns:a16="http://schemas.microsoft.com/office/drawing/2014/main" id="{59E877AD-A885-48D6-BAB9-1D31491B8BD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11207" y="1735667"/>
              <a:ext cx="4656667" cy="24077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7</xdr:row>
          <xdr:rowOff>19050</xdr:rowOff>
        </xdr:from>
        <xdr:to>
          <xdr:col>3</xdr:col>
          <xdr:colOff>0</xdr:colOff>
          <xdr:row>9</xdr:row>
          <xdr:rowOff>6350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Payment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rge Rivas" refreshedDate="44544.760505439815" backgroundQuery="1" createdVersion="6" refreshedVersion="7" minRefreshableVersion="3" recordCount="0" supportSubquery="1" supportAdvancedDrill="1" xr:uid="{7B7542F1-1470-4803-A647-C35AF630C8FB}">
  <cacheSource type="external" connectionId="1"/>
  <cacheFields count="6">
    <cacheField name="[Donors].[Pledge].[Pledge]" caption="Pledge" numFmtId="0" hierarchy="1" level="1">
      <sharedItems containsSemiMixedTypes="0" containsString="0" containsNumber="1" containsInteger="1" minValue="250" maxValue="500000" count="11">
        <n v="250"/>
        <n v="500"/>
        <n v="1000"/>
        <n v="2500"/>
        <n v="5000"/>
        <n v="10000"/>
        <n v="25000"/>
        <n v="50000"/>
        <n v="100000"/>
        <n v="250000"/>
        <n v="500000"/>
      </sharedItems>
      <extLst>
        <ext xmlns:x15="http://schemas.microsoft.com/office/spreadsheetml/2010/11/main" uri="{4F2E5C28-24EA-4eb8-9CBF-B6C8F9C3D259}">
          <x15:cachedUniqueNames>
            <x15:cachedUniqueName index="0" name="[Donors].[Pledge].&amp;[250]"/>
            <x15:cachedUniqueName index="1" name="[Donors].[Pledge].&amp;[500]"/>
            <x15:cachedUniqueName index="2" name="[Donors].[Pledge].&amp;[1000]"/>
            <x15:cachedUniqueName index="3" name="[Donors].[Pledge].&amp;[2500]"/>
            <x15:cachedUniqueName index="4" name="[Donors].[Pledge].&amp;[5000]"/>
            <x15:cachedUniqueName index="5" name="[Donors].[Pledge].&amp;[10000]"/>
            <x15:cachedUniqueName index="6" name="[Donors].[Pledge].&amp;[25000]"/>
            <x15:cachedUniqueName index="7" name="[Donors].[Pledge].&amp;[50000]"/>
            <x15:cachedUniqueName index="8" name="[Donors].[Pledge].&amp;[100000]"/>
            <x15:cachedUniqueName index="9" name="[Donors].[Pledge].&amp;[250000]"/>
            <x15:cachedUniqueName index="10" name="[Donors].[Pledge].&amp;[500000]"/>
          </x15:cachedUniqueNames>
        </ext>
      </extLst>
    </cacheField>
    <cacheField name="[Measures].[Count of Donor ID]" caption="Count of Donor ID" numFmtId="0" hierarchy="22" level="32767"/>
    <cacheField name="[Measures].[Total Pledged]" caption="Total Pledged" numFmtId="0" hierarchy="14" level="32767"/>
    <cacheField name="[Measures].[Total Collected]" caption="Total Collected" numFmtId="0" hierarchy="15" level="32767"/>
    <cacheField name="[Measures].[Paid in Full]" caption="Paid in Full" numFmtId="0" hierarchy="16" level="32767"/>
    <cacheField name="[Measures].[Paid in Full Percent]" caption="Paid in Full Percent" numFmtId="0" hierarchy="17" level="32767"/>
  </cacheFields>
  <cacheHierarchies count="24">
    <cacheHierarchy uniqueName="[Donors].[Donor ID]" caption="Donor ID" attribute="1" defaultMemberUniqueName="[Donors].[Donor ID].[All]" allUniqueName="[Donors].[Donor ID].[All]" dimensionUniqueName="[Donors]" displayFolder="" count="0" memberValueDatatype="20" unbalanced="0"/>
    <cacheHierarchy uniqueName="[Donors].[Pledge]" caption="Pledge" attribute="1" defaultMemberUniqueName="[Donors].[Pledge].[All]" allUniqueName="[Donors].[Pledge].[All]" dimensionUniqueName="[Donors]" displayFolder="" count="2" memberValueDatatype="20" unbalanced="0">
      <fieldsUsage count="2">
        <fieldUsage x="-1"/>
        <fieldUsage x="0"/>
      </fieldsUsage>
    </cacheHierarchy>
    <cacheHierarchy uniqueName="[Donors].[First Name]" caption="First Name" attribute="1" defaultMemberUniqueName="[Donors].[First Name].[All]" allUniqueName="[Donors].[First Name].[All]" dimensionUniqueName="[Donors]" displayFolder="" count="0" memberValueDatatype="130" unbalanced="0"/>
    <cacheHierarchy uniqueName="[Donors].[Last Name]" caption="Last Name" attribute="1" defaultMemberUniqueName="[Donors].[Last Name].[All]" allUniqueName="[Donors].[Last Name].[All]" dimensionUniqueName="[Donors]" displayFolder="" count="0" memberValueDatatype="130" unbalanced="0"/>
    <cacheHierarchy uniqueName="[Donors].[Street]" caption="Street" attribute="1" defaultMemberUniqueName="[Donors].[Street].[All]" allUniqueName="[Donors].[Street].[All]" dimensionUniqueName="[Donors]" displayFolder="" count="0" memberValueDatatype="130" unbalanced="0"/>
    <cacheHierarchy uniqueName="[Donors].[City]" caption="City" attribute="1" defaultMemberUniqueName="[Donors].[City].[All]" allUniqueName="[Donors].[City].[All]" dimensionUniqueName="[Donors]" displayFolder="" count="0" memberValueDatatype="130" unbalanced="0"/>
    <cacheHierarchy uniqueName="[Donors].[State]" caption="State" attribute="1" defaultMemberUniqueName="[Donors].[State].[All]" allUniqueName="[Donors].[State].[All]" dimensionUniqueName="[Donors]" displayFolder="" count="0" memberValueDatatype="130" unbalanced="0"/>
    <cacheHierarchy uniqueName="[Donors].[Postal Code]" caption="Postal Code" attribute="1" defaultMemberUniqueName="[Donors].[Postal Code].[All]" allUniqueName="[Donors].[Postal Code].[All]" dimensionUniqueName="[Donors]" displayFolder="" count="0" memberValueDatatype="130" unbalanced="0"/>
    <cacheHierarchy uniqueName="[Donors].[Phone Number]" caption="Phone Number" attribute="1" defaultMemberUniqueName="[Donors].[Phone Number].[All]" allUniqueName="[Donors].[Phone Number].[All]" dimensionUniqueName="[Donors]" displayFolder="" count="0" memberValueDatatype="130" unbalanced="0"/>
    <cacheHierarchy uniqueName="[Payments].[Donor ID]" caption="Donor ID" attribute="1" defaultMemberUniqueName="[Payments].[Donor ID].[All]" allUniqueName="[Payments].[Donor ID].[All]" dimensionUniqueName="[Payments]" displayFolder="" count="0" memberValueDatatype="20" unbalanced="0"/>
    <cacheHierarchy uniqueName="[Payments].[Date]" caption="Date" attribute="1" time="1" defaultMemberUniqueName="[Payments].[Date].[All]" allUniqueName="[Payments].[Date].[All]" dimensionUniqueName="[Payments]" displayFolder="" count="0" memberValueDatatype="7" unbalanced="0"/>
    <cacheHierarchy uniqueName="[Payments].[Amount]" caption="Amount" attribute="1" defaultMemberUniqueName="[Payments].[Amount].[All]" allUniqueName="[Payments].[Amount].[All]" dimensionUniqueName="[Payments]" displayFolder="" count="0" memberValueDatatype="20" unbalanced="0"/>
    <cacheHierarchy uniqueName="[Payments].[Date (Month)]" caption="Date (Month)" attribute="1" defaultMemberUniqueName="[Payments].[Date (Month)].[All]" allUniqueName="[Payments].[Date (Month)].[All]" dimensionUniqueName="[Payments]" displayFolder="" count="0" memberValueDatatype="130" unbalanced="0"/>
    <cacheHierarchy uniqueName="[Payments].[Date (Month Index)]" caption="Date (Month Index)" attribute="1" defaultMemberUniqueName="[Payments].[Date (Month Index)].[All]" allUniqueName="[Payments].[Date (Month Index)].[All]" dimensionUniqueName="[Payments]" displayFolder="" count="0" memberValueDatatype="20" unbalanced="0" hidden="1"/>
    <cacheHierarchy uniqueName="[Measures].[Total Pledged]" caption="Total Pledged" measure="1" displayFolder="" measureGroup="Donors" count="0" oneField="1">
      <fieldsUsage count="1">
        <fieldUsage x="2"/>
      </fieldsUsage>
    </cacheHierarchy>
    <cacheHierarchy uniqueName="[Measures].[Total Collected]" caption="Total Collected" measure="1" displayFolder="" measureGroup="Payments" count="0" oneField="1">
      <fieldsUsage count="1">
        <fieldUsage x="3"/>
      </fieldsUsage>
    </cacheHierarchy>
    <cacheHierarchy uniqueName="[Measures].[Paid in Full]" caption="Paid in Full" measure="1" displayFolder="" measureGroup="Donors" count="0" oneField="1">
      <fieldsUsage count="1">
        <fieldUsage x="4"/>
      </fieldsUsage>
    </cacheHierarchy>
    <cacheHierarchy uniqueName="[Measures].[Paid in Full Percent]" caption="Paid in Full Percent" measure="1" displayFolder="" measureGroup="Donors" count="0" oneField="1">
      <fieldsUsage count="1">
        <fieldUsage x="5"/>
      </fieldsUsage>
    </cacheHierarchy>
    <cacheHierarchy uniqueName="[Measures].[__XL_Count Donors]" caption="__XL_Count Donors" measure="1" displayFolder="" measureGroup="Donors" count="0" hidden="1"/>
    <cacheHierarchy uniqueName="[Measures].[__XL_Count Payments]" caption="__XL_Count Payments" measure="1" displayFolder="" measureGroup="Payments" count="0" hidden="1"/>
    <cacheHierarchy uniqueName="[Measures].[__No measures defined]" caption="__No measures defined" measure="1" displayFolder="" count="0" hidden="1"/>
    <cacheHierarchy uniqueName="[Measures].[Sum of Donor ID]" caption="Sum of Donor ID" measure="1" displayFolder="" measureGroup="Dono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Donor ID]" caption="Count of Donor ID" measure="1" displayFolder="" measureGroup="Dono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Paymen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3">
    <dimension name="Donors" uniqueName="[Donors]" caption="Donors"/>
    <dimension measure="1" name="Measures" uniqueName="[Measures]" caption="Measures"/>
    <dimension name="Payments" uniqueName="[Payments]" caption="Payments"/>
  </dimensions>
  <measureGroups count="2">
    <measureGroup name="Donors" caption="Donors"/>
    <measureGroup name="Payments" caption="Payment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rge Rivas" refreshedDate="44544.760506481478" backgroundQuery="1" createdVersion="6" refreshedVersion="7" minRefreshableVersion="3" recordCount="0" supportSubquery="1" supportAdvancedDrill="1" xr:uid="{5E44961F-4D19-41D3-956D-9FD49C69F08F}">
  <cacheSource type="external" connectionId="1"/>
  <cacheFields count="2">
    <cacheField name="[Payments].[Date].[Date]" caption="Date" numFmtId="0" hierarchy="10" level="1">
      <sharedItems containsSemiMixedTypes="0" containsNonDate="0" containsDate="1" containsString="0" minDate="2021-04-05T00:00:00" maxDate="2021-09-27T00:00:00" count="167">
        <d v="2021-04-05T00:00:00"/>
        <d v="2021-04-06T00:00:00"/>
        <d v="2021-04-07T00:00:00"/>
        <d v="2021-04-08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5T00:00:00"/>
        <d v="2021-09-26T00:00:00"/>
      </sharedItems>
    </cacheField>
    <cacheField name="[Measures].[Sum of Amount]" caption="Sum of Amount" numFmtId="0" hierarchy="23" level="32767"/>
  </cacheFields>
  <cacheHierarchies count="24">
    <cacheHierarchy uniqueName="[Donors].[Donor ID]" caption="Donor ID" attribute="1" defaultMemberUniqueName="[Donors].[Donor ID].[All]" allUniqueName="[Donors].[Donor ID].[All]" dimensionUniqueName="[Donors]" displayFolder="" count="0" memberValueDatatype="20" unbalanced="0"/>
    <cacheHierarchy uniqueName="[Donors].[Pledge]" caption="Pledge" attribute="1" defaultMemberUniqueName="[Donors].[Pledge].[All]" allUniqueName="[Donors].[Pledge].[All]" dimensionUniqueName="[Donors]" displayFolder="" count="0" memberValueDatatype="20" unbalanced="0"/>
    <cacheHierarchy uniqueName="[Donors].[First Name]" caption="First Name" attribute="1" defaultMemberUniqueName="[Donors].[First Name].[All]" allUniqueName="[Donors].[First Name].[All]" dimensionUniqueName="[Donors]" displayFolder="" count="0" memberValueDatatype="130" unbalanced="0"/>
    <cacheHierarchy uniqueName="[Donors].[Last Name]" caption="Last Name" attribute="1" defaultMemberUniqueName="[Donors].[Last Name].[All]" allUniqueName="[Donors].[Last Name].[All]" dimensionUniqueName="[Donors]" displayFolder="" count="0" memberValueDatatype="130" unbalanced="0"/>
    <cacheHierarchy uniqueName="[Donors].[Street]" caption="Street" attribute="1" defaultMemberUniqueName="[Donors].[Street].[All]" allUniqueName="[Donors].[Street].[All]" dimensionUniqueName="[Donors]" displayFolder="" count="0" memberValueDatatype="130" unbalanced="0"/>
    <cacheHierarchy uniqueName="[Donors].[City]" caption="City" attribute="1" defaultMemberUniqueName="[Donors].[City].[All]" allUniqueName="[Donors].[City].[All]" dimensionUniqueName="[Donors]" displayFolder="" count="0" memberValueDatatype="130" unbalanced="0"/>
    <cacheHierarchy uniqueName="[Donors].[State]" caption="State" attribute="1" defaultMemberUniqueName="[Donors].[State].[All]" allUniqueName="[Donors].[State].[All]" dimensionUniqueName="[Donors]" displayFolder="" count="0" memberValueDatatype="130" unbalanced="0"/>
    <cacheHierarchy uniqueName="[Donors].[Postal Code]" caption="Postal Code" attribute="1" defaultMemberUniqueName="[Donors].[Postal Code].[All]" allUniqueName="[Donors].[Postal Code].[All]" dimensionUniqueName="[Donors]" displayFolder="" count="0" memberValueDatatype="130" unbalanced="0"/>
    <cacheHierarchy uniqueName="[Donors].[Phone Number]" caption="Phone Number" attribute="1" defaultMemberUniqueName="[Donors].[Phone Number].[All]" allUniqueName="[Donors].[Phone Number].[All]" dimensionUniqueName="[Donors]" displayFolder="" count="0" memberValueDatatype="130" unbalanced="0"/>
    <cacheHierarchy uniqueName="[Payments].[Donor ID]" caption="Donor ID" attribute="1" defaultMemberUniqueName="[Payments].[Donor ID].[All]" allUniqueName="[Payments].[Donor ID].[All]" dimensionUniqueName="[Payments]" displayFolder="" count="0" memberValueDatatype="20" unbalanced="0"/>
    <cacheHierarchy uniqueName="[Payments].[Date]" caption="Date" attribute="1" time="1" defaultMemberUniqueName="[Payments].[Date].[All]" allUniqueName="[Payments].[Date].[All]" dimensionUniqueName="[Payments]" displayFolder="" count="2" memberValueDatatype="7" unbalanced="0">
      <fieldsUsage count="2">
        <fieldUsage x="-1"/>
        <fieldUsage x="0"/>
      </fieldsUsage>
    </cacheHierarchy>
    <cacheHierarchy uniqueName="[Payments].[Amount]" caption="Amount" attribute="1" defaultMemberUniqueName="[Payments].[Amount].[All]" allUniqueName="[Payments].[Amount].[All]" dimensionUniqueName="[Payments]" displayFolder="" count="0" memberValueDatatype="20" unbalanced="0"/>
    <cacheHierarchy uniqueName="[Payments].[Date (Month)]" caption="Date (Month)" attribute="1" defaultMemberUniqueName="[Payments].[Date (Month)].[All]" allUniqueName="[Payments].[Date (Month)].[All]" dimensionUniqueName="[Payments]" displayFolder="" count="0" memberValueDatatype="130" unbalanced="0"/>
    <cacheHierarchy uniqueName="[Payments].[Date (Month Index)]" caption="Date (Month Index)" attribute="1" defaultMemberUniqueName="[Payments].[Date (Month Index)].[All]" allUniqueName="[Payments].[Date (Month Index)].[All]" dimensionUniqueName="[Payments]" displayFolder="" count="0" memberValueDatatype="20" unbalanced="0" hidden="1"/>
    <cacheHierarchy uniqueName="[Measures].[Total Pledged]" caption="Total Pledged" measure="1" displayFolder="" measureGroup="Donors" count="0"/>
    <cacheHierarchy uniqueName="[Measures].[Total Collected]" caption="Total Collected" measure="1" displayFolder="" measureGroup="Payments" count="0"/>
    <cacheHierarchy uniqueName="[Measures].[Paid in Full]" caption="Paid in Full" measure="1" displayFolder="" measureGroup="Donors" count="0"/>
    <cacheHierarchy uniqueName="[Measures].[Paid in Full Percent]" caption="Paid in Full Percent" measure="1" displayFolder="" measureGroup="Donors" count="0"/>
    <cacheHierarchy uniqueName="[Measures].[__XL_Count Donors]" caption="__XL_Count Donors" measure="1" displayFolder="" measureGroup="Donors" count="0" hidden="1"/>
    <cacheHierarchy uniqueName="[Measures].[__XL_Count Payments]" caption="__XL_Count Payments" measure="1" displayFolder="" measureGroup="Payments" count="0" hidden="1"/>
    <cacheHierarchy uniqueName="[Measures].[__No measures defined]" caption="__No measures defined" measure="1" displayFolder="" count="0" hidden="1"/>
    <cacheHierarchy uniqueName="[Measures].[Sum of Donor ID]" caption="Sum of Donor ID" measure="1" displayFolder="" measureGroup="Dono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Donor ID]" caption="Count of Donor ID" measure="1" displayFolder="" measureGroup="Dono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Paymen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3">
    <dimension name="Donors" uniqueName="[Donors]" caption="Donors"/>
    <dimension measure="1" name="Measures" uniqueName="[Measures]" caption="Measures"/>
    <dimension name="Payments" uniqueName="[Payments]" caption="Payments"/>
  </dimensions>
  <measureGroups count="2">
    <measureGroup name="Donors" caption="Donors"/>
    <measureGroup name="Payments" caption="Payment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56B76A-4A97-40D4-A733-C8857CF1E323}" name="Pledge Pivot" cacheId="14" applyNumberFormats="0" applyBorderFormats="0" applyFontFormats="0" applyPatternFormats="0" applyAlignmentFormats="0" applyWidthHeightFormats="1" dataCaption="Values" tag="00b31cfc-6faa-4ac8-8a52-e87dff93f7ff" updatedVersion="7" minRefreshableVersion="3" useAutoFormatting="1" itemPrintTitles="1" createdVersion="6" indent="0" showEmptyRow="1" showEmptyCol="1" compact="0" compactData="0" multipleFieldFilters="0">
  <location ref="B4:G16" firstHeaderRow="0" firstDataRow="1" firstDataCol="1"/>
  <pivotFields count="6"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Donors"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</dataFields>
  <formats count="1">
    <format dxfId="0">
      <pivotArea dataOnly="0" labelOnly="1" outline="0" fieldPosition="0">
        <references count="1">
          <reference field="0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Donors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ors]"/>
        <x15:activeTabTopLevelEntity name="[Pay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A4950-FF0D-402B-9849-F46DAB3A6408}" name="Collection History" cacheId="17" applyNumberFormats="0" applyBorderFormats="0" applyFontFormats="0" applyPatternFormats="0" applyAlignmentFormats="0" applyWidthHeightFormats="1" dataCaption="Values" tag="be3ab110-9629-4a22-a313-a1c12a7bd5fa" updatedVersion="7" minRefreshableVersion="3" useAutoFormatting="1" rowGrandTotals="0" colGrandTotals="0" itemPrintTitles="1" createdVersion="6" indent="0" compact="0" compactData="0" multipleFieldFilters="0" chartFormat="4">
  <location ref="B4:C171" firstHeaderRow="1" firstDataRow="1" firstDataCol="1"/>
  <pivotFields count="2">
    <pivotField axis="axisRow" compact="0" allDrilled="1" outline="0" subtotalTop="0" showAll="0" dataSourceSort="1" defaultSubtotal="0" defaultAttributeDrillState="1">
      <items count="1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</items>
    </pivotField>
    <pivotField dataField="1" compact="0" outline="0" subtotalTop="0" showAll="0" defaultSubtotal="0"/>
  </pivotFields>
  <rowFields count="1">
    <field x="0"/>
  </rowFields>
  <rowItems count="16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</rowItems>
  <colItems count="1">
    <i/>
  </colItems>
  <dataFields count="1">
    <dataField name="Payments" fld="1" showDataAs="runTotal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Payments"/>
  </pivotHierarchies>
  <pivotTableStyleInfo name="PivotStyleLight16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y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F9A12A-F8E5-41E2-AC60-69E4AF19DE06}" name="Donors" displayName="Donors" ref="B4:J452" totalsRowShown="0">
  <autoFilter ref="B4:J452" xr:uid="{7705ED62-D200-4598-85D5-750BBA99EE16}"/>
  <sortState xmlns:xlrd2="http://schemas.microsoft.com/office/spreadsheetml/2017/richdata2" ref="B5:J452">
    <sortCondition descending="1" ref="B4:B452"/>
  </sortState>
  <tableColumns count="9">
    <tableColumn id="11" xr3:uid="{A39BB48B-30B4-4B7D-A848-DCD8CDBFFC47}" name="Donor ID"/>
    <tableColumn id="2" xr3:uid="{C510B1DA-3C4B-4F04-917A-0BBE30CFAC0C}" name="Pledge" dataDxfId="4"/>
    <tableColumn id="4" xr3:uid="{3DA75AE8-1649-4649-B82D-33A4CC9AA425}" name="First Name"/>
    <tableColumn id="5" xr3:uid="{D8022DD6-589F-4152-8919-DD5F22B2B0A8}" name="Last Name"/>
    <tableColumn id="6" xr3:uid="{B951D76C-5DB2-41B0-BB7C-A7CF052B810D}" name="Street"/>
    <tableColumn id="7" xr3:uid="{ACFCF555-F447-46EE-8B46-E751038471F4}" name="City"/>
    <tableColumn id="8" xr3:uid="{E13F63D9-AED4-4840-903A-6DC600673199}" name="State"/>
    <tableColumn id="9" xr3:uid="{6EFEBEBF-3523-444E-BE59-783DFF2C8B50}" name="Postal Code" dataDxfId="3"/>
    <tableColumn id="10" xr3:uid="{93F37343-BE56-4489-8DEA-7456C7FD57C5}" name="Phone Numb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50D0B9-E9E5-4FAF-A5E4-48653DA52A1C}" name="Payments" displayName="Payments" ref="B4:D615" totalsRowShown="0">
  <autoFilter ref="B4:D615" xr:uid="{9CAE94EB-D597-42F4-8667-757BA7BA234A}"/>
  <sortState xmlns:xlrd2="http://schemas.microsoft.com/office/spreadsheetml/2017/richdata2" ref="B5:D615">
    <sortCondition descending="1" ref="C4:C615"/>
  </sortState>
  <tableColumns count="3">
    <tableColumn id="1" xr3:uid="{8C4E5AF5-581C-4EA5-AD4B-010CAE75BAED}" name="Donor ID"/>
    <tableColumn id="2" xr3:uid="{65F9D0AB-4748-4A4C-AB63-57C65DA3404B}" name="Date" dataDxfId="2"/>
    <tableColumn id="3" xr3:uid="{DAD8126C-9435-4336-B1BC-623855C60366}" name="Amount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BAF61-43A1-4ADC-8E46-CE747679F351}">
  <sheetPr codeName="Sheet1"/>
  <dimension ref="A1:B5"/>
  <sheetViews>
    <sheetView zoomScale="120" zoomScaleNormal="120" workbookViewId="0">
      <selection activeCell="C8" sqref="C8"/>
    </sheetView>
  </sheetViews>
  <sheetFormatPr defaultRowHeight="14.5" x14ac:dyDescent="0.35"/>
  <cols>
    <col min="1" max="1" width="11.26953125" customWidth="1"/>
    <col min="2" max="2" width="36.81640625" customWidth="1"/>
  </cols>
  <sheetData>
    <row r="1" spans="1:2" ht="30.5" x14ac:dyDescent="0.65">
      <c r="A1" s="1"/>
    </row>
    <row r="3" spans="1:2" x14ac:dyDescent="0.35">
      <c r="A3" s="2" t="s">
        <v>1</v>
      </c>
      <c r="B3" s="3" t="s">
        <v>1920</v>
      </c>
    </row>
    <row r="4" spans="1:2" x14ac:dyDescent="0.35">
      <c r="A4" s="2" t="s">
        <v>2</v>
      </c>
      <c r="B4" s="4">
        <v>44541</v>
      </c>
    </row>
    <row r="5" spans="1:2" ht="29" x14ac:dyDescent="0.35">
      <c r="A5" s="2" t="s">
        <v>3</v>
      </c>
      <c r="B5" s="3" t="s">
        <v>4</v>
      </c>
    </row>
  </sheetData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2E2B-E8C9-4C6D-BDC5-758A1ACDFEAF}">
  <sheetPr codeName="Sheet2"/>
  <dimension ref="E2:H5"/>
  <sheetViews>
    <sheetView tabSelected="1" zoomScale="120" zoomScaleNormal="120" workbookViewId="0"/>
  </sheetViews>
  <sheetFormatPr defaultColWidth="9.1796875" defaultRowHeight="14.5" x14ac:dyDescent="0.35"/>
  <cols>
    <col min="1" max="1" width="8.81640625" style="21" customWidth="1"/>
    <col min="2" max="5" width="9.1796875" style="21"/>
    <col min="6" max="6" width="18" style="21" customWidth="1"/>
    <col min="7" max="7" width="8.26953125" style="21" customWidth="1"/>
    <col min="8" max="8" width="20.81640625" style="21" customWidth="1"/>
    <col min="9" max="16384" width="9.1796875" style="21"/>
  </cols>
  <sheetData>
    <row r="2" spans="5:8" ht="15.5" x14ac:dyDescent="0.35">
      <c r="G2" s="27" t="s">
        <v>1893</v>
      </c>
      <c r="H2" s="27" t="s">
        <v>1919</v>
      </c>
    </row>
    <row r="3" spans="5:8" ht="26" x14ac:dyDescent="0.6">
      <c r="E3" s="33" t="s">
        <v>1897</v>
      </c>
      <c r="F3" s="33"/>
      <c r="G3" s="20">
        <f>GETPIVOTDATA("[Measures].[Count of Donor ID]",'Pledge Tables'!$B$4)</f>
        <v>448</v>
      </c>
      <c r="H3" s="28">
        <f>GETPIVOTDATA("[Measures].[Total Pledged]",'Pledge Tables'!$B$4)</f>
        <v>2084500</v>
      </c>
    </row>
    <row r="4" spans="5:8" ht="26" x14ac:dyDescent="0.6">
      <c r="E4" s="22" t="s">
        <v>1898</v>
      </c>
      <c r="F4" s="22"/>
      <c r="G4" s="22">
        <f>GETPIVOTDATA("[Measures].[Paid in Full]",'Pledge Tables'!$B$4)</f>
        <v>297</v>
      </c>
      <c r="H4" s="29">
        <f>GETPIVOTDATA("[Measures].[Total Collected]",'Pledge Tables'!$B$4)</f>
        <v>1256120</v>
      </c>
    </row>
    <row r="5" spans="5:8" ht="26" x14ac:dyDescent="0.6">
      <c r="E5" s="23" t="s">
        <v>1899</v>
      </c>
      <c r="F5" s="23"/>
      <c r="G5" s="23">
        <f>GETPIVOTDATA("[Measures].[Count of Donor ID]",'Pledge Tables'!$B$4)-GETPIVOTDATA("[Measures].[Paid in Full]",'Pledge Tables'!$B$4)</f>
        <v>151</v>
      </c>
      <c r="H5" s="30">
        <f>H3-H4</f>
        <v>828380</v>
      </c>
    </row>
  </sheetData>
  <sheetProtection sheet="1" objects="1" scenarios="1"/>
  <mergeCells count="1">
    <mergeCell ref="E3:F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6568-1A14-4BAB-B696-A3F4C3C08F5B}">
  <sheetPr codeName="Sheet3"/>
  <dimension ref="B1:H451"/>
  <sheetViews>
    <sheetView zoomScale="120" zoomScaleNormal="120" workbookViewId="0">
      <selection activeCell="C5" sqref="C5"/>
    </sheetView>
  </sheetViews>
  <sheetFormatPr defaultRowHeight="14.5" x14ac:dyDescent="0.35"/>
  <cols>
    <col min="1" max="1" width="3.54296875" customWidth="1"/>
    <col min="2" max="2" width="10.26953125" customWidth="1"/>
    <col min="3" max="3" width="14.81640625" customWidth="1"/>
    <col min="5" max="5" width="14.54296875" customWidth="1"/>
    <col min="8" max="8" width="11.453125" hidden="1" customWidth="1"/>
  </cols>
  <sheetData>
    <row r="1" spans="2:8" ht="25.5" x14ac:dyDescent="0.55000000000000004">
      <c r="B1" s="5" t="s">
        <v>0</v>
      </c>
    </row>
    <row r="2" spans="2:8" ht="18.5" x14ac:dyDescent="0.45">
      <c r="B2" s="6" t="s">
        <v>1902</v>
      </c>
    </row>
    <row r="3" spans="2:8" x14ac:dyDescent="0.35">
      <c r="H3" s="24" t="s">
        <v>1901</v>
      </c>
    </row>
    <row r="4" spans="2:8" x14ac:dyDescent="0.35">
      <c r="B4" s="24" t="s">
        <v>1872</v>
      </c>
      <c r="C4" s="34">
        <v>30</v>
      </c>
      <c r="E4" t="s">
        <v>1891</v>
      </c>
      <c r="F4" s="8" t="str">
        <f>IFERROR(VLOOKUP(#REF!,Donors[],2,FALSE),"")</f>
        <v/>
      </c>
      <c r="H4" s="14">
        <v>1</v>
      </c>
    </row>
    <row r="5" spans="2:8" x14ac:dyDescent="0.35">
      <c r="B5" s="24" t="s">
        <v>2</v>
      </c>
      <c r="C5" s="35"/>
      <c r="E5" s="31" t="s">
        <v>1900</v>
      </c>
      <c r="F5" s="32">
        <f>SUMIF(Payments!B:B,'Payment Form'!#REF!,Payments!D:D)</f>
        <v>0</v>
      </c>
      <c r="H5" s="14">
        <v>2</v>
      </c>
    </row>
    <row r="6" spans="2:8" x14ac:dyDescent="0.35">
      <c r="B6" s="24" t="s">
        <v>1875</v>
      </c>
      <c r="C6" s="36"/>
      <c r="E6" t="s">
        <v>1899</v>
      </c>
      <c r="F6" s="8" t="str">
        <f>IFERROR(F4-F5,"")</f>
        <v/>
      </c>
      <c r="H6" s="14">
        <v>3</v>
      </c>
    </row>
    <row r="7" spans="2:8" x14ac:dyDescent="0.35">
      <c r="H7" s="14">
        <v>4</v>
      </c>
    </row>
    <row r="8" spans="2:8" x14ac:dyDescent="0.35">
      <c r="H8" s="14">
        <v>5</v>
      </c>
    </row>
    <row r="9" spans="2:8" x14ac:dyDescent="0.35">
      <c r="H9" s="14">
        <v>6</v>
      </c>
    </row>
    <row r="10" spans="2:8" x14ac:dyDescent="0.35">
      <c r="H10" s="14">
        <v>7</v>
      </c>
    </row>
    <row r="11" spans="2:8" x14ac:dyDescent="0.35">
      <c r="H11" s="14">
        <v>8</v>
      </c>
    </row>
    <row r="12" spans="2:8" x14ac:dyDescent="0.35">
      <c r="H12" s="14">
        <v>9</v>
      </c>
    </row>
    <row r="13" spans="2:8" x14ac:dyDescent="0.35">
      <c r="H13" s="14">
        <v>10</v>
      </c>
    </row>
    <row r="14" spans="2:8" x14ac:dyDescent="0.35">
      <c r="H14" s="14">
        <v>11</v>
      </c>
    </row>
    <row r="15" spans="2:8" x14ac:dyDescent="0.35">
      <c r="H15" s="14">
        <v>12</v>
      </c>
    </row>
    <row r="16" spans="2:8" x14ac:dyDescent="0.35">
      <c r="H16" s="14">
        <v>13</v>
      </c>
    </row>
    <row r="17" spans="8:8" x14ac:dyDescent="0.35">
      <c r="H17" s="14">
        <v>14</v>
      </c>
    </row>
    <row r="18" spans="8:8" x14ac:dyDescent="0.35">
      <c r="H18" s="14">
        <v>15</v>
      </c>
    </row>
    <row r="19" spans="8:8" x14ac:dyDescent="0.35">
      <c r="H19" s="14">
        <v>16</v>
      </c>
    </row>
    <row r="20" spans="8:8" x14ac:dyDescent="0.35">
      <c r="H20" s="14">
        <v>17</v>
      </c>
    </row>
    <row r="21" spans="8:8" x14ac:dyDescent="0.35">
      <c r="H21" s="14">
        <v>18</v>
      </c>
    </row>
    <row r="22" spans="8:8" x14ac:dyDescent="0.35">
      <c r="H22" s="14">
        <v>19</v>
      </c>
    </row>
    <row r="23" spans="8:8" x14ac:dyDescent="0.35">
      <c r="H23" s="14">
        <v>20</v>
      </c>
    </row>
    <row r="24" spans="8:8" x14ac:dyDescent="0.35">
      <c r="H24" s="14">
        <v>21</v>
      </c>
    </row>
    <row r="25" spans="8:8" x14ac:dyDescent="0.35">
      <c r="H25" s="14">
        <v>22</v>
      </c>
    </row>
    <row r="26" spans="8:8" x14ac:dyDescent="0.35">
      <c r="H26" s="14">
        <v>23</v>
      </c>
    </row>
    <row r="27" spans="8:8" x14ac:dyDescent="0.35">
      <c r="H27" s="14">
        <v>24</v>
      </c>
    </row>
    <row r="28" spans="8:8" x14ac:dyDescent="0.35">
      <c r="H28" s="14">
        <v>25</v>
      </c>
    </row>
    <row r="29" spans="8:8" x14ac:dyDescent="0.35">
      <c r="H29" s="14">
        <v>26</v>
      </c>
    </row>
    <row r="30" spans="8:8" x14ac:dyDescent="0.35">
      <c r="H30" s="14">
        <v>27</v>
      </c>
    </row>
    <row r="31" spans="8:8" x14ac:dyDescent="0.35">
      <c r="H31" s="14">
        <v>28</v>
      </c>
    </row>
    <row r="32" spans="8:8" x14ac:dyDescent="0.35">
      <c r="H32" s="14">
        <v>29</v>
      </c>
    </row>
    <row r="33" spans="8:8" x14ac:dyDescent="0.35">
      <c r="H33" s="14">
        <v>30</v>
      </c>
    </row>
    <row r="34" spans="8:8" x14ac:dyDescent="0.35">
      <c r="H34" s="14">
        <v>31</v>
      </c>
    </row>
    <row r="35" spans="8:8" x14ac:dyDescent="0.35">
      <c r="H35" s="14">
        <v>32</v>
      </c>
    </row>
    <row r="36" spans="8:8" x14ac:dyDescent="0.35">
      <c r="H36" s="14">
        <v>33</v>
      </c>
    </row>
    <row r="37" spans="8:8" x14ac:dyDescent="0.35">
      <c r="H37" s="14">
        <v>34</v>
      </c>
    </row>
    <row r="38" spans="8:8" x14ac:dyDescent="0.35">
      <c r="H38" s="14">
        <v>35</v>
      </c>
    </row>
    <row r="39" spans="8:8" x14ac:dyDescent="0.35">
      <c r="H39" s="14">
        <v>36</v>
      </c>
    </row>
    <row r="40" spans="8:8" x14ac:dyDescent="0.35">
      <c r="H40" s="14">
        <v>37</v>
      </c>
    </row>
    <row r="41" spans="8:8" x14ac:dyDescent="0.35">
      <c r="H41" s="14">
        <v>38</v>
      </c>
    </row>
    <row r="42" spans="8:8" x14ac:dyDescent="0.35">
      <c r="H42" s="14">
        <v>39</v>
      </c>
    </row>
    <row r="43" spans="8:8" x14ac:dyDescent="0.35">
      <c r="H43" s="14">
        <v>40</v>
      </c>
    </row>
    <row r="44" spans="8:8" x14ac:dyDescent="0.35">
      <c r="H44" s="14">
        <v>41</v>
      </c>
    </row>
    <row r="45" spans="8:8" x14ac:dyDescent="0.35">
      <c r="H45" s="14">
        <v>42</v>
      </c>
    </row>
    <row r="46" spans="8:8" x14ac:dyDescent="0.35">
      <c r="H46" s="14">
        <v>43</v>
      </c>
    </row>
    <row r="47" spans="8:8" x14ac:dyDescent="0.35">
      <c r="H47" s="14">
        <v>44</v>
      </c>
    </row>
    <row r="48" spans="8:8" x14ac:dyDescent="0.35">
      <c r="H48" s="14">
        <v>45</v>
      </c>
    </row>
    <row r="49" spans="8:8" x14ac:dyDescent="0.35">
      <c r="H49" s="14">
        <v>46</v>
      </c>
    </row>
    <row r="50" spans="8:8" x14ac:dyDescent="0.35">
      <c r="H50" s="14">
        <v>47</v>
      </c>
    </row>
    <row r="51" spans="8:8" x14ac:dyDescent="0.35">
      <c r="H51" s="14">
        <v>48</v>
      </c>
    </row>
    <row r="52" spans="8:8" x14ac:dyDescent="0.35">
      <c r="H52" s="14">
        <v>49</v>
      </c>
    </row>
    <row r="53" spans="8:8" x14ac:dyDescent="0.35">
      <c r="H53" s="14">
        <v>50</v>
      </c>
    </row>
    <row r="54" spans="8:8" x14ac:dyDescent="0.35">
      <c r="H54" s="14">
        <v>51</v>
      </c>
    </row>
    <row r="55" spans="8:8" x14ac:dyDescent="0.35">
      <c r="H55" s="14">
        <v>52</v>
      </c>
    </row>
    <row r="56" spans="8:8" x14ac:dyDescent="0.35">
      <c r="H56" s="14">
        <v>53</v>
      </c>
    </row>
    <row r="57" spans="8:8" x14ac:dyDescent="0.35">
      <c r="H57" s="14">
        <v>54</v>
      </c>
    </row>
    <row r="58" spans="8:8" x14ac:dyDescent="0.35">
      <c r="H58" s="14">
        <v>55</v>
      </c>
    </row>
    <row r="59" spans="8:8" x14ac:dyDescent="0.35">
      <c r="H59" s="14">
        <v>56</v>
      </c>
    </row>
    <row r="60" spans="8:8" x14ac:dyDescent="0.35">
      <c r="H60" s="14">
        <v>57</v>
      </c>
    </row>
    <row r="61" spans="8:8" x14ac:dyDescent="0.35">
      <c r="H61" s="14">
        <v>58</v>
      </c>
    </row>
    <row r="62" spans="8:8" x14ac:dyDescent="0.35">
      <c r="H62" s="14">
        <v>59</v>
      </c>
    </row>
    <row r="63" spans="8:8" x14ac:dyDescent="0.35">
      <c r="H63" s="14">
        <v>60</v>
      </c>
    </row>
    <row r="64" spans="8:8" x14ac:dyDescent="0.35">
      <c r="H64" s="14">
        <v>61</v>
      </c>
    </row>
    <row r="65" spans="8:8" x14ac:dyDescent="0.35">
      <c r="H65" s="14">
        <v>62</v>
      </c>
    </row>
    <row r="66" spans="8:8" x14ac:dyDescent="0.35">
      <c r="H66" s="14">
        <v>63</v>
      </c>
    </row>
    <row r="67" spans="8:8" x14ac:dyDescent="0.35">
      <c r="H67" s="14">
        <v>64</v>
      </c>
    </row>
    <row r="68" spans="8:8" x14ac:dyDescent="0.35">
      <c r="H68" s="14">
        <v>65</v>
      </c>
    </row>
    <row r="69" spans="8:8" x14ac:dyDescent="0.35">
      <c r="H69" s="14">
        <v>66</v>
      </c>
    </row>
    <row r="70" spans="8:8" x14ac:dyDescent="0.35">
      <c r="H70" s="14">
        <v>67</v>
      </c>
    </row>
    <row r="71" spans="8:8" x14ac:dyDescent="0.35">
      <c r="H71" s="14">
        <v>68</v>
      </c>
    </row>
    <row r="72" spans="8:8" x14ac:dyDescent="0.35">
      <c r="H72" s="14">
        <v>69</v>
      </c>
    </row>
    <row r="73" spans="8:8" x14ac:dyDescent="0.35">
      <c r="H73" s="14">
        <v>70</v>
      </c>
    </row>
    <row r="74" spans="8:8" x14ac:dyDescent="0.35">
      <c r="H74" s="14">
        <v>71</v>
      </c>
    </row>
    <row r="75" spans="8:8" x14ac:dyDescent="0.35">
      <c r="H75" s="14">
        <v>72</v>
      </c>
    </row>
    <row r="76" spans="8:8" x14ac:dyDescent="0.35">
      <c r="H76" s="14">
        <v>73</v>
      </c>
    </row>
    <row r="77" spans="8:8" x14ac:dyDescent="0.35">
      <c r="H77" s="14">
        <v>74</v>
      </c>
    </row>
    <row r="78" spans="8:8" x14ac:dyDescent="0.35">
      <c r="H78" s="14">
        <v>75</v>
      </c>
    </row>
    <row r="79" spans="8:8" x14ac:dyDescent="0.35">
      <c r="H79" s="14">
        <v>76</v>
      </c>
    </row>
    <row r="80" spans="8:8" x14ac:dyDescent="0.35">
      <c r="H80" s="14">
        <v>77</v>
      </c>
    </row>
    <row r="81" spans="8:8" x14ac:dyDescent="0.35">
      <c r="H81" s="14">
        <v>78</v>
      </c>
    </row>
    <row r="82" spans="8:8" x14ac:dyDescent="0.35">
      <c r="H82" s="14">
        <v>79</v>
      </c>
    </row>
    <row r="83" spans="8:8" x14ac:dyDescent="0.35">
      <c r="H83" s="14">
        <v>80</v>
      </c>
    </row>
    <row r="84" spans="8:8" x14ac:dyDescent="0.35">
      <c r="H84" s="14">
        <v>81</v>
      </c>
    </row>
    <row r="85" spans="8:8" x14ac:dyDescent="0.35">
      <c r="H85" s="14">
        <v>82</v>
      </c>
    </row>
    <row r="86" spans="8:8" x14ac:dyDescent="0.35">
      <c r="H86" s="14">
        <v>83</v>
      </c>
    </row>
    <row r="87" spans="8:8" x14ac:dyDescent="0.35">
      <c r="H87" s="14">
        <v>84</v>
      </c>
    </row>
    <row r="88" spans="8:8" x14ac:dyDescent="0.35">
      <c r="H88" s="14">
        <v>85</v>
      </c>
    </row>
    <row r="89" spans="8:8" x14ac:dyDescent="0.35">
      <c r="H89" s="14">
        <v>86</v>
      </c>
    </row>
    <row r="90" spans="8:8" x14ac:dyDescent="0.35">
      <c r="H90" s="14">
        <v>87</v>
      </c>
    </row>
    <row r="91" spans="8:8" x14ac:dyDescent="0.35">
      <c r="H91" s="14">
        <v>88</v>
      </c>
    </row>
    <row r="92" spans="8:8" x14ac:dyDescent="0.35">
      <c r="H92" s="14">
        <v>89</v>
      </c>
    </row>
    <row r="93" spans="8:8" x14ac:dyDescent="0.35">
      <c r="H93" s="14">
        <v>90</v>
      </c>
    </row>
    <row r="94" spans="8:8" x14ac:dyDescent="0.35">
      <c r="H94" s="14">
        <v>91</v>
      </c>
    </row>
    <row r="95" spans="8:8" x14ac:dyDescent="0.35">
      <c r="H95" s="14">
        <v>92</v>
      </c>
    </row>
    <row r="96" spans="8:8" x14ac:dyDescent="0.35">
      <c r="H96" s="14">
        <v>93</v>
      </c>
    </row>
    <row r="97" spans="8:8" x14ac:dyDescent="0.35">
      <c r="H97" s="14">
        <v>94</v>
      </c>
    </row>
    <row r="98" spans="8:8" x14ac:dyDescent="0.35">
      <c r="H98" s="14">
        <v>95</v>
      </c>
    </row>
    <row r="99" spans="8:8" x14ac:dyDescent="0.35">
      <c r="H99" s="14">
        <v>96</v>
      </c>
    </row>
    <row r="100" spans="8:8" x14ac:dyDescent="0.35">
      <c r="H100" s="14">
        <v>97</v>
      </c>
    </row>
    <row r="101" spans="8:8" x14ac:dyDescent="0.35">
      <c r="H101" s="14">
        <v>98</v>
      </c>
    </row>
    <row r="102" spans="8:8" x14ac:dyDescent="0.35">
      <c r="H102" s="14">
        <v>99</v>
      </c>
    </row>
    <row r="103" spans="8:8" x14ac:dyDescent="0.35">
      <c r="H103" s="14">
        <v>100</v>
      </c>
    </row>
    <row r="104" spans="8:8" x14ac:dyDescent="0.35">
      <c r="H104" s="14">
        <v>101</v>
      </c>
    </row>
    <row r="105" spans="8:8" x14ac:dyDescent="0.35">
      <c r="H105" s="14">
        <v>102</v>
      </c>
    </row>
    <row r="106" spans="8:8" x14ac:dyDescent="0.35">
      <c r="H106" s="14">
        <v>103</v>
      </c>
    </row>
    <row r="107" spans="8:8" x14ac:dyDescent="0.35">
      <c r="H107" s="14">
        <v>104</v>
      </c>
    </row>
    <row r="108" spans="8:8" x14ac:dyDescent="0.35">
      <c r="H108" s="14">
        <v>105</v>
      </c>
    </row>
    <row r="109" spans="8:8" x14ac:dyDescent="0.35">
      <c r="H109" s="14">
        <v>106</v>
      </c>
    </row>
    <row r="110" spans="8:8" x14ac:dyDescent="0.35">
      <c r="H110" s="14">
        <v>107</v>
      </c>
    </row>
    <row r="111" spans="8:8" x14ac:dyDescent="0.35">
      <c r="H111" s="14">
        <v>108</v>
      </c>
    </row>
    <row r="112" spans="8:8" x14ac:dyDescent="0.35">
      <c r="H112" s="14">
        <v>109</v>
      </c>
    </row>
    <row r="113" spans="8:8" x14ac:dyDescent="0.35">
      <c r="H113" s="14">
        <v>110</v>
      </c>
    </row>
    <row r="114" spans="8:8" x14ac:dyDescent="0.35">
      <c r="H114" s="14">
        <v>111</v>
      </c>
    </row>
    <row r="115" spans="8:8" x14ac:dyDescent="0.35">
      <c r="H115" s="14">
        <v>112</v>
      </c>
    </row>
    <row r="116" spans="8:8" x14ac:dyDescent="0.35">
      <c r="H116" s="14">
        <v>113</v>
      </c>
    </row>
    <row r="117" spans="8:8" x14ac:dyDescent="0.35">
      <c r="H117" s="14">
        <v>114</v>
      </c>
    </row>
    <row r="118" spans="8:8" x14ac:dyDescent="0.35">
      <c r="H118" s="14">
        <v>115</v>
      </c>
    </row>
    <row r="119" spans="8:8" x14ac:dyDescent="0.35">
      <c r="H119" s="14">
        <v>116</v>
      </c>
    </row>
    <row r="120" spans="8:8" x14ac:dyDescent="0.35">
      <c r="H120" s="14">
        <v>117</v>
      </c>
    </row>
    <row r="121" spans="8:8" x14ac:dyDescent="0.35">
      <c r="H121" s="14">
        <v>118</v>
      </c>
    </row>
    <row r="122" spans="8:8" x14ac:dyDescent="0.35">
      <c r="H122" s="14">
        <v>119</v>
      </c>
    </row>
    <row r="123" spans="8:8" x14ac:dyDescent="0.35">
      <c r="H123" s="14">
        <v>120</v>
      </c>
    </row>
    <row r="124" spans="8:8" x14ac:dyDescent="0.35">
      <c r="H124" s="14">
        <v>121</v>
      </c>
    </row>
    <row r="125" spans="8:8" x14ac:dyDescent="0.35">
      <c r="H125" s="14">
        <v>122</v>
      </c>
    </row>
    <row r="126" spans="8:8" x14ac:dyDescent="0.35">
      <c r="H126" s="14">
        <v>123</v>
      </c>
    </row>
    <row r="127" spans="8:8" x14ac:dyDescent="0.35">
      <c r="H127" s="14">
        <v>124</v>
      </c>
    </row>
    <row r="128" spans="8:8" x14ac:dyDescent="0.35">
      <c r="H128" s="14">
        <v>125</v>
      </c>
    </row>
    <row r="129" spans="8:8" x14ac:dyDescent="0.35">
      <c r="H129" s="14">
        <v>126</v>
      </c>
    </row>
    <row r="130" spans="8:8" x14ac:dyDescent="0.35">
      <c r="H130" s="14">
        <v>127</v>
      </c>
    </row>
    <row r="131" spans="8:8" x14ac:dyDescent="0.35">
      <c r="H131" s="14">
        <v>128</v>
      </c>
    </row>
    <row r="132" spans="8:8" x14ac:dyDescent="0.35">
      <c r="H132" s="14">
        <v>129</v>
      </c>
    </row>
    <row r="133" spans="8:8" x14ac:dyDescent="0.35">
      <c r="H133" s="14">
        <v>130</v>
      </c>
    </row>
    <row r="134" spans="8:8" x14ac:dyDescent="0.35">
      <c r="H134" s="14">
        <v>131</v>
      </c>
    </row>
    <row r="135" spans="8:8" x14ac:dyDescent="0.35">
      <c r="H135" s="14">
        <v>132</v>
      </c>
    </row>
    <row r="136" spans="8:8" x14ac:dyDescent="0.35">
      <c r="H136" s="14">
        <v>133</v>
      </c>
    </row>
    <row r="137" spans="8:8" x14ac:dyDescent="0.35">
      <c r="H137" s="14">
        <v>134</v>
      </c>
    </row>
    <row r="138" spans="8:8" x14ac:dyDescent="0.35">
      <c r="H138" s="14">
        <v>135</v>
      </c>
    </row>
    <row r="139" spans="8:8" x14ac:dyDescent="0.35">
      <c r="H139" s="14">
        <v>136</v>
      </c>
    </row>
    <row r="140" spans="8:8" x14ac:dyDescent="0.35">
      <c r="H140" s="14">
        <v>137</v>
      </c>
    </row>
    <row r="141" spans="8:8" x14ac:dyDescent="0.35">
      <c r="H141" s="14">
        <v>138</v>
      </c>
    </row>
    <row r="142" spans="8:8" x14ac:dyDescent="0.35">
      <c r="H142" s="14">
        <v>139</v>
      </c>
    </row>
    <row r="143" spans="8:8" x14ac:dyDescent="0.35">
      <c r="H143" s="14">
        <v>140</v>
      </c>
    </row>
    <row r="144" spans="8:8" x14ac:dyDescent="0.35">
      <c r="H144" s="14">
        <v>141</v>
      </c>
    </row>
    <row r="145" spans="8:8" x14ac:dyDescent="0.35">
      <c r="H145" s="14">
        <v>142</v>
      </c>
    </row>
    <row r="146" spans="8:8" x14ac:dyDescent="0.35">
      <c r="H146" s="14">
        <v>143</v>
      </c>
    </row>
    <row r="147" spans="8:8" x14ac:dyDescent="0.35">
      <c r="H147" s="14">
        <v>144</v>
      </c>
    </row>
    <row r="148" spans="8:8" x14ac:dyDescent="0.35">
      <c r="H148" s="14">
        <v>145</v>
      </c>
    </row>
    <row r="149" spans="8:8" x14ac:dyDescent="0.35">
      <c r="H149" s="14">
        <v>146</v>
      </c>
    </row>
    <row r="150" spans="8:8" x14ac:dyDescent="0.35">
      <c r="H150" s="14">
        <v>147</v>
      </c>
    </row>
    <row r="151" spans="8:8" x14ac:dyDescent="0.35">
      <c r="H151" s="14">
        <v>148</v>
      </c>
    </row>
    <row r="152" spans="8:8" x14ac:dyDescent="0.35">
      <c r="H152" s="14">
        <v>149</v>
      </c>
    </row>
    <row r="153" spans="8:8" x14ac:dyDescent="0.35">
      <c r="H153" s="14">
        <v>150</v>
      </c>
    </row>
    <row r="154" spans="8:8" x14ac:dyDescent="0.35">
      <c r="H154" s="14">
        <v>151</v>
      </c>
    </row>
    <row r="155" spans="8:8" x14ac:dyDescent="0.35">
      <c r="H155" s="14">
        <v>152</v>
      </c>
    </row>
    <row r="156" spans="8:8" x14ac:dyDescent="0.35">
      <c r="H156" s="14">
        <v>153</v>
      </c>
    </row>
    <row r="157" spans="8:8" x14ac:dyDescent="0.35">
      <c r="H157" s="14">
        <v>154</v>
      </c>
    </row>
    <row r="158" spans="8:8" x14ac:dyDescent="0.35">
      <c r="H158" s="14">
        <v>155</v>
      </c>
    </row>
    <row r="159" spans="8:8" x14ac:dyDescent="0.35">
      <c r="H159" s="14">
        <v>156</v>
      </c>
    </row>
    <row r="160" spans="8:8" x14ac:dyDescent="0.35">
      <c r="H160" s="14">
        <v>157</v>
      </c>
    </row>
    <row r="161" spans="8:8" x14ac:dyDescent="0.35">
      <c r="H161" s="14">
        <v>158</v>
      </c>
    </row>
    <row r="162" spans="8:8" x14ac:dyDescent="0.35">
      <c r="H162" s="14">
        <v>159</v>
      </c>
    </row>
    <row r="163" spans="8:8" x14ac:dyDescent="0.35">
      <c r="H163" s="14">
        <v>160</v>
      </c>
    </row>
    <row r="164" spans="8:8" x14ac:dyDescent="0.35">
      <c r="H164" s="14">
        <v>161</v>
      </c>
    </row>
    <row r="165" spans="8:8" x14ac:dyDescent="0.35">
      <c r="H165" s="14">
        <v>162</v>
      </c>
    </row>
    <row r="166" spans="8:8" x14ac:dyDescent="0.35">
      <c r="H166" s="14">
        <v>163</v>
      </c>
    </row>
    <row r="167" spans="8:8" x14ac:dyDescent="0.35">
      <c r="H167" s="14">
        <v>164</v>
      </c>
    </row>
    <row r="168" spans="8:8" x14ac:dyDescent="0.35">
      <c r="H168" s="14">
        <v>165</v>
      </c>
    </row>
    <row r="169" spans="8:8" x14ac:dyDescent="0.35">
      <c r="H169" s="14">
        <v>166</v>
      </c>
    </row>
    <row r="170" spans="8:8" x14ac:dyDescent="0.35">
      <c r="H170" s="14">
        <v>167</v>
      </c>
    </row>
    <row r="171" spans="8:8" x14ac:dyDescent="0.35">
      <c r="H171" s="14">
        <v>168</v>
      </c>
    </row>
    <row r="172" spans="8:8" x14ac:dyDescent="0.35">
      <c r="H172" s="14">
        <v>169</v>
      </c>
    </row>
    <row r="173" spans="8:8" x14ac:dyDescent="0.35">
      <c r="H173" s="14">
        <v>170</v>
      </c>
    </row>
    <row r="174" spans="8:8" x14ac:dyDescent="0.35">
      <c r="H174" s="14">
        <v>171</v>
      </c>
    </row>
    <row r="175" spans="8:8" x14ac:dyDescent="0.35">
      <c r="H175" s="14">
        <v>172</v>
      </c>
    </row>
    <row r="176" spans="8:8" x14ac:dyDescent="0.35">
      <c r="H176" s="14">
        <v>173</v>
      </c>
    </row>
    <row r="177" spans="8:8" x14ac:dyDescent="0.35">
      <c r="H177" s="14">
        <v>174</v>
      </c>
    </row>
    <row r="178" spans="8:8" x14ac:dyDescent="0.35">
      <c r="H178" s="14">
        <v>175</v>
      </c>
    </row>
    <row r="179" spans="8:8" x14ac:dyDescent="0.35">
      <c r="H179" s="14">
        <v>176</v>
      </c>
    </row>
    <row r="180" spans="8:8" x14ac:dyDescent="0.35">
      <c r="H180" s="14">
        <v>177</v>
      </c>
    </row>
    <row r="181" spans="8:8" x14ac:dyDescent="0.35">
      <c r="H181" s="14">
        <v>178</v>
      </c>
    </row>
    <row r="182" spans="8:8" x14ac:dyDescent="0.35">
      <c r="H182" s="14">
        <v>179</v>
      </c>
    </row>
    <row r="183" spans="8:8" x14ac:dyDescent="0.35">
      <c r="H183" s="14">
        <v>180</v>
      </c>
    </row>
    <row r="184" spans="8:8" x14ac:dyDescent="0.35">
      <c r="H184" s="14">
        <v>181</v>
      </c>
    </row>
    <row r="185" spans="8:8" x14ac:dyDescent="0.35">
      <c r="H185" s="14">
        <v>182</v>
      </c>
    </row>
    <row r="186" spans="8:8" x14ac:dyDescent="0.35">
      <c r="H186" s="14">
        <v>183</v>
      </c>
    </row>
    <row r="187" spans="8:8" x14ac:dyDescent="0.35">
      <c r="H187" s="14">
        <v>184</v>
      </c>
    </row>
    <row r="188" spans="8:8" x14ac:dyDescent="0.35">
      <c r="H188" s="14">
        <v>185</v>
      </c>
    </row>
    <row r="189" spans="8:8" x14ac:dyDescent="0.35">
      <c r="H189" s="14">
        <v>186</v>
      </c>
    </row>
    <row r="190" spans="8:8" x14ac:dyDescent="0.35">
      <c r="H190" s="14">
        <v>187</v>
      </c>
    </row>
    <row r="191" spans="8:8" x14ac:dyDescent="0.35">
      <c r="H191" s="14">
        <v>188</v>
      </c>
    </row>
    <row r="192" spans="8:8" x14ac:dyDescent="0.35">
      <c r="H192" s="14">
        <v>189</v>
      </c>
    </row>
    <row r="193" spans="8:8" x14ac:dyDescent="0.35">
      <c r="H193" s="14">
        <v>190</v>
      </c>
    </row>
    <row r="194" spans="8:8" x14ac:dyDescent="0.35">
      <c r="H194" s="14">
        <v>191</v>
      </c>
    </row>
    <row r="195" spans="8:8" x14ac:dyDescent="0.35">
      <c r="H195" s="14">
        <v>192</v>
      </c>
    </row>
    <row r="196" spans="8:8" x14ac:dyDescent="0.35">
      <c r="H196" s="14">
        <v>193</v>
      </c>
    </row>
    <row r="197" spans="8:8" x14ac:dyDescent="0.35">
      <c r="H197" s="14">
        <v>194</v>
      </c>
    </row>
    <row r="198" spans="8:8" x14ac:dyDescent="0.35">
      <c r="H198" s="14">
        <v>195</v>
      </c>
    </row>
    <row r="199" spans="8:8" x14ac:dyDescent="0.35">
      <c r="H199" s="14">
        <v>196</v>
      </c>
    </row>
    <row r="200" spans="8:8" x14ac:dyDescent="0.35">
      <c r="H200" s="14">
        <v>197</v>
      </c>
    </row>
    <row r="201" spans="8:8" x14ac:dyDescent="0.35">
      <c r="H201" s="14">
        <v>198</v>
      </c>
    </row>
    <row r="202" spans="8:8" x14ac:dyDescent="0.35">
      <c r="H202" s="14">
        <v>199</v>
      </c>
    </row>
    <row r="203" spans="8:8" x14ac:dyDescent="0.35">
      <c r="H203" s="14">
        <v>200</v>
      </c>
    </row>
    <row r="204" spans="8:8" x14ac:dyDescent="0.35">
      <c r="H204" s="14">
        <v>201</v>
      </c>
    </row>
    <row r="205" spans="8:8" x14ac:dyDescent="0.35">
      <c r="H205" s="14">
        <v>202</v>
      </c>
    </row>
    <row r="206" spans="8:8" x14ac:dyDescent="0.35">
      <c r="H206" s="14">
        <v>203</v>
      </c>
    </row>
    <row r="207" spans="8:8" x14ac:dyDescent="0.35">
      <c r="H207" s="14">
        <v>204</v>
      </c>
    </row>
    <row r="208" spans="8:8" x14ac:dyDescent="0.35">
      <c r="H208" s="14">
        <v>205</v>
      </c>
    </row>
    <row r="209" spans="8:8" x14ac:dyDescent="0.35">
      <c r="H209" s="14">
        <v>206</v>
      </c>
    </row>
    <row r="210" spans="8:8" x14ac:dyDescent="0.35">
      <c r="H210" s="14">
        <v>207</v>
      </c>
    </row>
    <row r="211" spans="8:8" x14ac:dyDescent="0.35">
      <c r="H211" s="14">
        <v>208</v>
      </c>
    </row>
    <row r="212" spans="8:8" x14ac:dyDescent="0.35">
      <c r="H212" s="14">
        <v>209</v>
      </c>
    </row>
    <row r="213" spans="8:8" x14ac:dyDescent="0.35">
      <c r="H213" s="14">
        <v>210</v>
      </c>
    </row>
    <row r="214" spans="8:8" x14ac:dyDescent="0.35">
      <c r="H214" s="14">
        <v>211</v>
      </c>
    </row>
    <row r="215" spans="8:8" x14ac:dyDescent="0.35">
      <c r="H215" s="14">
        <v>212</v>
      </c>
    </row>
    <row r="216" spans="8:8" x14ac:dyDescent="0.35">
      <c r="H216" s="14">
        <v>213</v>
      </c>
    </row>
    <row r="217" spans="8:8" x14ac:dyDescent="0.35">
      <c r="H217" s="14">
        <v>214</v>
      </c>
    </row>
    <row r="218" spans="8:8" x14ac:dyDescent="0.35">
      <c r="H218" s="14">
        <v>215</v>
      </c>
    </row>
    <row r="219" spans="8:8" x14ac:dyDescent="0.35">
      <c r="H219" s="14">
        <v>216</v>
      </c>
    </row>
    <row r="220" spans="8:8" x14ac:dyDescent="0.35">
      <c r="H220" s="14">
        <v>217</v>
      </c>
    </row>
    <row r="221" spans="8:8" x14ac:dyDescent="0.35">
      <c r="H221" s="14">
        <v>218</v>
      </c>
    </row>
    <row r="222" spans="8:8" x14ac:dyDescent="0.35">
      <c r="H222" s="14">
        <v>219</v>
      </c>
    </row>
    <row r="223" spans="8:8" x14ac:dyDescent="0.35">
      <c r="H223" s="14">
        <v>220</v>
      </c>
    </row>
    <row r="224" spans="8:8" x14ac:dyDescent="0.35">
      <c r="H224" s="14">
        <v>221</v>
      </c>
    </row>
    <row r="225" spans="8:8" x14ac:dyDescent="0.35">
      <c r="H225" s="14">
        <v>222</v>
      </c>
    </row>
    <row r="226" spans="8:8" x14ac:dyDescent="0.35">
      <c r="H226" s="14">
        <v>223</v>
      </c>
    </row>
    <row r="227" spans="8:8" x14ac:dyDescent="0.35">
      <c r="H227" s="14">
        <v>224</v>
      </c>
    </row>
    <row r="228" spans="8:8" x14ac:dyDescent="0.35">
      <c r="H228" s="14">
        <v>225</v>
      </c>
    </row>
    <row r="229" spans="8:8" x14ac:dyDescent="0.35">
      <c r="H229" s="14">
        <v>226</v>
      </c>
    </row>
    <row r="230" spans="8:8" x14ac:dyDescent="0.35">
      <c r="H230" s="14">
        <v>227</v>
      </c>
    </row>
    <row r="231" spans="8:8" x14ac:dyDescent="0.35">
      <c r="H231" s="14">
        <v>228</v>
      </c>
    </row>
    <row r="232" spans="8:8" x14ac:dyDescent="0.35">
      <c r="H232" s="14">
        <v>229</v>
      </c>
    </row>
    <row r="233" spans="8:8" x14ac:dyDescent="0.35">
      <c r="H233" s="14">
        <v>230</v>
      </c>
    </row>
    <row r="234" spans="8:8" x14ac:dyDescent="0.35">
      <c r="H234" s="14">
        <v>231</v>
      </c>
    </row>
    <row r="235" spans="8:8" x14ac:dyDescent="0.35">
      <c r="H235" s="14">
        <v>232</v>
      </c>
    </row>
    <row r="236" spans="8:8" x14ac:dyDescent="0.35">
      <c r="H236" s="14">
        <v>233</v>
      </c>
    </row>
    <row r="237" spans="8:8" x14ac:dyDescent="0.35">
      <c r="H237" s="14">
        <v>234</v>
      </c>
    </row>
    <row r="238" spans="8:8" x14ac:dyDescent="0.35">
      <c r="H238" s="14">
        <v>235</v>
      </c>
    </row>
    <row r="239" spans="8:8" x14ac:dyDescent="0.35">
      <c r="H239" s="14">
        <v>236</v>
      </c>
    </row>
    <row r="240" spans="8:8" x14ac:dyDescent="0.35">
      <c r="H240" s="14">
        <v>237</v>
      </c>
    </row>
    <row r="241" spans="8:8" x14ac:dyDescent="0.35">
      <c r="H241" s="14">
        <v>238</v>
      </c>
    </row>
    <row r="242" spans="8:8" x14ac:dyDescent="0.35">
      <c r="H242" s="14">
        <v>239</v>
      </c>
    </row>
    <row r="243" spans="8:8" x14ac:dyDescent="0.35">
      <c r="H243" s="14">
        <v>240</v>
      </c>
    </row>
    <row r="244" spans="8:8" x14ac:dyDescent="0.35">
      <c r="H244" s="14">
        <v>241</v>
      </c>
    </row>
    <row r="245" spans="8:8" x14ac:dyDescent="0.35">
      <c r="H245" s="14">
        <v>242</v>
      </c>
    </row>
    <row r="246" spans="8:8" x14ac:dyDescent="0.35">
      <c r="H246" s="14">
        <v>243</v>
      </c>
    </row>
    <row r="247" spans="8:8" x14ac:dyDescent="0.35">
      <c r="H247" s="14">
        <v>244</v>
      </c>
    </row>
    <row r="248" spans="8:8" x14ac:dyDescent="0.35">
      <c r="H248" s="14">
        <v>245</v>
      </c>
    </row>
    <row r="249" spans="8:8" x14ac:dyDescent="0.35">
      <c r="H249" s="14">
        <v>246</v>
      </c>
    </row>
    <row r="250" spans="8:8" x14ac:dyDescent="0.35">
      <c r="H250" s="14">
        <v>247</v>
      </c>
    </row>
    <row r="251" spans="8:8" x14ac:dyDescent="0.35">
      <c r="H251" s="14">
        <v>248</v>
      </c>
    </row>
    <row r="252" spans="8:8" x14ac:dyDescent="0.35">
      <c r="H252" s="14">
        <v>249</v>
      </c>
    </row>
    <row r="253" spans="8:8" x14ac:dyDescent="0.35">
      <c r="H253" s="14">
        <v>250</v>
      </c>
    </row>
    <row r="254" spans="8:8" x14ac:dyDescent="0.35">
      <c r="H254" s="14">
        <v>251</v>
      </c>
    </row>
    <row r="255" spans="8:8" x14ac:dyDescent="0.35">
      <c r="H255" s="14">
        <v>252</v>
      </c>
    </row>
    <row r="256" spans="8:8" x14ac:dyDescent="0.35">
      <c r="H256" s="14">
        <v>253</v>
      </c>
    </row>
    <row r="257" spans="8:8" x14ac:dyDescent="0.35">
      <c r="H257" s="14">
        <v>254</v>
      </c>
    </row>
    <row r="258" spans="8:8" x14ac:dyDescent="0.35">
      <c r="H258" s="14">
        <v>255</v>
      </c>
    </row>
    <row r="259" spans="8:8" x14ac:dyDescent="0.35">
      <c r="H259" s="14">
        <v>256</v>
      </c>
    </row>
    <row r="260" spans="8:8" x14ac:dyDescent="0.35">
      <c r="H260" s="14">
        <v>257</v>
      </c>
    </row>
    <row r="261" spans="8:8" x14ac:dyDescent="0.35">
      <c r="H261" s="14">
        <v>258</v>
      </c>
    </row>
    <row r="262" spans="8:8" x14ac:dyDescent="0.35">
      <c r="H262" s="14">
        <v>259</v>
      </c>
    </row>
    <row r="263" spans="8:8" x14ac:dyDescent="0.35">
      <c r="H263" s="14">
        <v>260</v>
      </c>
    </row>
    <row r="264" spans="8:8" x14ac:dyDescent="0.35">
      <c r="H264" s="14">
        <v>261</v>
      </c>
    </row>
    <row r="265" spans="8:8" x14ac:dyDescent="0.35">
      <c r="H265" s="14">
        <v>262</v>
      </c>
    </row>
    <row r="266" spans="8:8" x14ac:dyDescent="0.35">
      <c r="H266" s="14">
        <v>263</v>
      </c>
    </row>
    <row r="267" spans="8:8" x14ac:dyDescent="0.35">
      <c r="H267" s="14">
        <v>264</v>
      </c>
    </row>
    <row r="268" spans="8:8" x14ac:dyDescent="0.35">
      <c r="H268" s="14">
        <v>265</v>
      </c>
    </row>
    <row r="269" spans="8:8" x14ac:dyDescent="0.35">
      <c r="H269" s="14">
        <v>266</v>
      </c>
    </row>
    <row r="270" spans="8:8" x14ac:dyDescent="0.35">
      <c r="H270" s="14">
        <v>267</v>
      </c>
    </row>
    <row r="271" spans="8:8" x14ac:dyDescent="0.35">
      <c r="H271" s="14">
        <v>268</v>
      </c>
    </row>
    <row r="272" spans="8:8" x14ac:dyDescent="0.35">
      <c r="H272" s="14">
        <v>269</v>
      </c>
    </row>
    <row r="273" spans="8:8" x14ac:dyDescent="0.35">
      <c r="H273" s="14">
        <v>270</v>
      </c>
    </row>
    <row r="274" spans="8:8" x14ac:dyDescent="0.35">
      <c r="H274" s="14">
        <v>271</v>
      </c>
    </row>
    <row r="275" spans="8:8" x14ac:dyDescent="0.35">
      <c r="H275" s="14">
        <v>272</v>
      </c>
    </row>
    <row r="276" spans="8:8" x14ac:dyDescent="0.35">
      <c r="H276" s="14">
        <v>273</v>
      </c>
    </row>
    <row r="277" spans="8:8" x14ac:dyDescent="0.35">
      <c r="H277" s="14">
        <v>274</v>
      </c>
    </row>
    <row r="278" spans="8:8" x14ac:dyDescent="0.35">
      <c r="H278" s="14">
        <v>275</v>
      </c>
    </row>
    <row r="279" spans="8:8" x14ac:dyDescent="0.35">
      <c r="H279" s="14">
        <v>276</v>
      </c>
    </row>
    <row r="280" spans="8:8" x14ac:dyDescent="0.35">
      <c r="H280" s="14">
        <v>277</v>
      </c>
    </row>
    <row r="281" spans="8:8" x14ac:dyDescent="0.35">
      <c r="H281" s="14">
        <v>278</v>
      </c>
    </row>
    <row r="282" spans="8:8" x14ac:dyDescent="0.35">
      <c r="H282" s="14">
        <v>279</v>
      </c>
    </row>
    <row r="283" spans="8:8" x14ac:dyDescent="0.35">
      <c r="H283" s="14">
        <v>280</v>
      </c>
    </row>
    <row r="284" spans="8:8" x14ac:dyDescent="0.35">
      <c r="H284" s="14">
        <v>281</v>
      </c>
    </row>
    <row r="285" spans="8:8" x14ac:dyDescent="0.35">
      <c r="H285" s="14">
        <v>282</v>
      </c>
    </row>
    <row r="286" spans="8:8" x14ac:dyDescent="0.35">
      <c r="H286" s="14">
        <v>283</v>
      </c>
    </row>
    <row r="287" spans="8:8" x14ac:dyDescent="0.35">
      <c r="H287" s="14">
        <v>284</v>
      </c>
    </row>
    <row r="288" spans="8:8" x14ac:dyDescent="0.35">
      <c r="H288" s="14">
        <v>285</v>
      </c>
    </row>
    <row r="289" spans="8:8" x14ac:dyDescent="0.35">
      <c r="H289" s="14">
        <v>286</v>
      </c>
    </row>
    <row r="290" spans="8:8" x14ac:dyDescent="0.35">
      <c r="H290" s="14">
        <v>287</v>
      </c>
    </row>
    <row r="291" spans="8:8" x14ac:dyDescent="0.35">
      <c r="H291" s="14">
        <v>288</v>
      </c>
    </row>
    <row r="292" spans="8:8" x14ac:dyDescent="0.35">
      <c r="H292" s="14">
        <v>289</v>
      </c>
    </row>
    <row r="293" spans="8:8" x14ac:dyDescent="0.35">
      <c r="H293" s="14">
        <v>290</v>
      </c>
    </row>
    <row r="294" spans="8:8" x14ac:dyDescent="0.35">
      <c r="H294" s="14">
        <v>291</v>
      </c>
    </row>
    <row r="295" spans="8:8" x14ac:dyDescent="0.35">
      <c r="H295" s="14">
        <v>292</v>
      </c>
    </row>
    <row r="296" spans="8:8" x14ac:dyDescent="0.35">
      <c r="H296" s="14">
        <v>293</v>
      </c>
    </row>
    <row r="297" spans="8:8" x14ac:dyDescent="0.35">
      <c r="H297" s="14">
        <v>294</v>
      </c>
    </row>
    <row r="298" spans="8:8" x14ac:dyDescent="0.35">
      <c r="H298" s="14">
        <v>295</v>
      </c>
    </row>
    <row r="299" spans="8:8" x14ac:dyDescent="0.35">
      <c r="H299" s="14">
        <v>296</v>
      </c>
    </row>
    <row r="300" spans="8:8" x14ac:dyDescent="0.35">
      <c r="H300" s="14">
        <v>297</v>
      </c>
    </row>
    <row r="301" spans="8:8" x14ac:dyDescent="0.35">
      <c r="H301" s="14">
        <v>298</v>
      </c>
    </row>
    <row r="302" spans="8:8" x14ac:dyDescent="0.35">
      <c r="H302" s="14">
        <v>299</v>
      </c>
    </row>
    <row r="303" spans="8:8" x14ac:dyDescent="0.35">
      <c r="H303" s="14">
        <v>300</v>
      </c>
    </row>
    <row r="304" spans="8:8" x14ac:dyDescent="0.35">
      <c r="H304" s="14">
        <v>301</v>
      </c>
    </row>
    <row r="305" spans="8:8" x14ac:dyDescent="0.35">
      <c r="H305" s="14">
        <v>302</v>
      </c>
    </row>
    <row r="306" spans="8:8" x14ac:dyDescent="0.35">
      <c r="H306" s="14">
        <v>303</v>
      </c>
    </row>
    <row r="307" spans="8:8" x14ac:dyDescent="0.35">
      <c r="H307" s="14">
        <v>304</v>
      </c>
    </row>
    <row r="308" spans="8:8" x14ac:dyDescent="0.35">
      <c r="H308" s="14">
        <v>305</v>
      </c>
    </row>
    <row r="309" spans="8:8" x14ac:dyDescent="0.35">
      <c r="H309" s="14">
        <v>306</v>
      </c>
    </row>
    <row r="310" spans="8:8" x14ac:dyDescent="0.35">
      <c r="H310" s="14">
        <v>307</v>
      </c>
    </row>
    <row r="311" spans="8:8" x14ac:dyDescent="0.35">
      <c r="H311" s="14">
        <v>308</v>
      </c>
    </row>
    <row r="312" spans="8:8" x14ac:dyDescent="0.35">
      <c r="H312" s="14">
        <v>309</v>
      </c>
    </row>
    <row r="313" spans="8:8" x14ac:dyDescent="0.35">
      <c r="H313" s="14">
        <v>310</v>
      </c>
    </row>
    <row r="314" spans="8:8" x14ac:dyDescent="0.35">
      <c r="H314" s="14">
        <v>311</v>
      </c>
    </row>
    <row r="315" spans="8:8" x14ac:dyDescent="0.35">
      <c r="H315" s="14">
        <v>312</v>
      </c>
    </row>
    <row r="316" spans="8:8" x14ac:dyDescent="0.35">
      <c r="H316" s="14">
        <v>313</v>
      </c>
    </row>
    <row r="317" spans="8:8" x14ac:dyDescent="0.35">
      <c r="H317" s="14">
        <v>314</v>
      </c>
    </row>
    <row r="318" spans="8:8" x14ac:dyDescent="0.35">
      <c r="H318" s="14">
        <v>315</v>
      </c>
    </row>
    <row r="319" spans="8:8" x14ac:dyDescent="0.35">
      <c r="H319" s="14">
        <v>316</v>
      </c>
    </row>
    <row r="320" spans="8:8" x14ac:dyDescent="0.35">
      <c r="H320" s="14">
        <v>317</v>
      </c>
    </row>
    <row r="321" spans="8:8" x14ac:dyDescent="0.35">
      <c r="H321" s="14">
        <v>318</v>
      </c>
    </row>
    <row r="322" spans="8:8" x14ac:dyDescent="0.35">
      <c r="H322" s="14">
        <v>319</v>
      </c>
    </row>
    <row r="323" spans="8:8" x14ac:dyDescent="0.35">
      <c r="H323" s="14">
        <v>320</v>
      </c>
    </row>
    <row r="324" spans="8:8" x14ac:dyDescent="0.35">
      <c r="H324" s="14">
        <v>321</v>
      </c>
    </row>
    <row r="325" spans="8:8" x14ac:dyDescent="0.35">
      <c r="H325" s="14">
        <v>322</v>
      </c>
    </row>
    <row r="326" spans="8:8" x14ac:dyDescent="0.35">
      <c r="H326" s="14">
        <v>323</v>
      </c>
    </row>
    <row r="327" spans="8:8" x14ac:dyDescent="0.35">
      <c r="H327" s="14">
        <v>324</v>
      </c>
    </row>
    <row r="328" spans="8:8" x14ac:dyDescent="0.35">
      <c r="H328" s="14">
        <v>325</v>
      </c>
    </row>
    <row r="329" spans="8:8" x14ac:dyDescent="0.35">
      <c r="H329" s="14">
        <v>326</v>
      </c>
    </row>
    <row r="330" spans="8:8" x14ac:dyDescent="0.35">
      <c r="H330" s="14">
        <v>327</v>
      </c>
    </row>
    <row r="331" spans="8:8" x14ac:dyDescent="0.35">
      <c r="H331" s="14">
        <v>328</v>
      </c>
    </row>
    <row r="332" spans="8:8" x14ac:dyDescent="0.35">
      <c r="H332" s="14">
        <v>329</v>
      </c>
    </row>
    <row r="333" spans="8:8" x14ac:dyDescent="0.35">
      <c r="H333" s="14">
        <v>330</v>
      </c>
    </row>
    <row r="334" spans="8:8" x14ac:dyDescent="0.35">
      <c r="H334" s="14">
        <v>331</v>
      </c>
    </row>
    <row r="335" spans="8:8" x14ac:dyDescent="0.35">
      <c r="H335" s="14">
        <v>332</v>
      </c>
    </row>
    <row r="336" spans="8:8" x14ac:dyDescent="0.35">
      <c r="H336" s="14">
        <v>333</v>
      </c>
    </row>
    <row r="337" spans="8:8" x14ac:dyDescent="0.35">
      <c r="H337" s="14">
        <v>334</v>
      </c>
    </row>
    <row r="338" spans="8:8" x14ac:dyDescent="0.35">
      <c r="H338" s="14">
        <v>335</v>
      </c>
    </row>
    <row r="339" spans="8:8" x14ac:dyDescent="0.35">
      <c r="H339" s="14">
        <v>336</v>
      </c>
    </row>
    <row r="340" spans="8:8" x14ac:dyDescent="0.35">
      <c r="H340" s="14">
        <v>337</v>
      </c>
    </row>
    <row r="341" spans="8:8" x14ac:dyDescent="0.35">
      <c r="H341" s="14">
        <v>338</v>
      </c>
    </row>
    <row r="342" spans="8:8" x14ac:dyDescent="0.35">
      <c r="H342" s="14">
        <v>339</v>
      </c>
    </row>
    <row r="343" spans="8:8" x14ac:dyDescent="0.35">
      <c r="H343" s="14">
        <v>340</v>
      </c>
    </row>
    <row r="344" spans="8:8" x14ac:dyDescent="0.35">
      <c r="H344" s="14">
        <v>341</v>
      </c>
    </row>
    <row r="345" spans="8:8" x14ac:dyDescent="0.35">
      <c r="H345" s="14">
        <v>342</v>
      </c>
    </row>
    <row r="346" spans="8:8" x14ac:dyDescent="0.35">
      <c r="H346" s="14">
        <v>343</v>
      </c>
    </row>
    <row r="347" spans="8:8" x14ac:dyDescent="0.35">
      <c r="H347" s="14">
        <v>344</v>
      </c>
    </row>
    <row r="348" spans="8:8" x14ac:dyDescent="0.35">
      <c r="H348" s="14">
        <v>345</v>
      </c>
    </row>
    <row r="349" spans="8:8" x14ac:dyDescent="0.35">
      <c r="H349" s="14">
        <v>346</v>
      </c>
    </row>
    <row r="350" spans="8:8" x14ac:dyDescent="0.35">
      <c r="H350" s="14">
        <v>347</v>
      </c>
    </row>
    <row r="351" spans="8:8" x14ac:dyDescent="0.35">
      <c r="H351" s="14">
        <v>348</v>
      </c>
    </row>
    <row r="352" spans="8:8" x14ac:dyDescent="0.35">
      <c r="H352" s="14">
        <v>349</v>
      </c>
    </row>
    <row r="353" spans="8:8" x14ac:dyDescent="0.35">
      <c r="H353" s="14">
        <v>350</v>
      </c>
    </row>
    <row r="354" spans="8:8" x14ac:dyDescent="0.35">
      <c r="H354" s="14">
        <v>351</v>
      </c>
    </row>
    <row r="355" spans="8:8" x14ac:dyDescent="0.35">
      <c r="H355" s="14">
        <v>352</v>
      </c>
    </row>
    <row r="356" spans="8:8" x14ac:dyDescent="0.35">
      <c r="H356" s="14">
        <v>353</v>
      </c>
    </row>
    <row r="357" spans="8:8" x14ac:dyDescent="0.35">
      <c r="H357" s="14">
        <v>354</v>
      </c>
    </row>
    <row r="358" spans="8:8" x14ac:dyDescent="0.35">
      <c r="H358" s="14">
        <v>355</v>
      </c>
    </row>
    <row r="359" spans="8:8" x14ac:dyDescent="0.35">
      <c r="H359" s="14">
        <v>356</v>
      </c>
    </row>
    <row r="360" spans="8:8" x14ac:dyDescent="0.35">
      <c r="H360" s="14">
        <v>357</v>
      </c>
    </row>
    <row r="361" spans="8:8" x14ac:dyDescent="0.35">
      <c r="H361" s="14">
        <v>358</v>
      </c>
    </row>
    <row r="362" spans="8:8" x14ac:dyDescent="0.35">
      <c r="H362" s="14">
        <v>359</v>
      </c>
    </row>
    <row r="363" spans="8:8" x14ac:dyDescent="0.35">
      <c r="H363" s="14">
        <v>360</v>
      </c>
    </row>
    <row r="364" spans="8:8" x14ac:dyDescent="0.35">
      <c r="H364" s="14">
        <v>361</v>
      </c>
    </row>
    <row r="365" spans="8:8" x14ac:dyDescent="0.35">
      <c r="H365" s="14">
        <v>362</v>
      </c>
    </row>
    <row r="366" spans="8:8" x14ac:dyDescent="0.35">
      <c r="H366" s="14">
        <v>363</v>
      </c>
    </row>
    <row r="367" spans="8:8" x14ac:dyDescent="0.35">
      <c r="H367" s="14">
        <v>364</v>
      </c>
    </row>
    <row r="368" spans="8:8" x14ac:dyDescent="0.35">
      <c r="H368" s="14">
        <v>365</v>
      </c>
    </row>
    <row r="369" spans="8:8" x14ac:dyDescent="0.35">
      <c r="H369" s="14">
        <v>366</v>
      </c>
    </row>
    <row r="370" spans="8:8" x14ac:dyDescent="0.35">
      <c r="H370" s="14">
        <v>367</v>
      </c>
    </row>
    <row r="371" spans="8:8" x14ac:dyDescent="0.35">
      <c r="H371" s="14">
        <v>368</v>
      </c>
    </row>
    <row r="372" spans="8:8" x14ac:dyDescent="0.35">
      <c r="H372" s="14">
        <v>369</v>
      </c>
    </row>
    <row r="373" spans="8:8" x14ac:dyDescent="0.35">
      <c r="H373" s="14">
        <v>370</v>
      </c>
    </row>
    <row r="374" spans="8:8" x14ac:dyDescent="0.35">
      <c r="H374" s="14">
        <v>371</v>
      </c>
    </row>
    <row r="375" spans="8:8" x14ac:dyDescent="0.35">
      <c r="H375" s="14">
        <v>372</v>
      </c>
    </row>
    <row r="376" spans="8:8" x14ac:dyDescent="0.35">
      <c r="H376" s="14">
        <v>373</v>
      </c>
    </row>
    <row r="377" spans="8:8" x14ac:dyDescent="0.35">
      <c r="H377" s="14">
        <v>374</v>
      </c>
    </row>
    <row r="378" spans="8:8" x14ac:dyDescent="0.35">
      <c r="H378" s="14">
        <v>375</v>
      </c>
    </row>
    <row r="379" spans="8:8" x14ac:dyDescent="0.35">
      <c r="H379" s="14">
        <v>376</v>
      </c>
    </row>
    <row r="380" spans="8:8" x14ac:dyDescent="0.35">
      <c r="H380" s="14">
        <v>377</v>
      </c>
    </row>
    <row r="381" spans="8:8" x14ac:dyDescent="0.35">
      <c r="H381" s="14">
        <v>378</v>
      </c>
    </row>
    <row r="382" spans="8:8" x14ac:dyDescent="0.35">
      <c r="H382" s="14">
        <v>379</v>
      </c>
    </row>
    <row r="383" spans="8:8" x14ac:dyDescent="0.35">
      <c r="H383" s="14">
        <v>380</v>
      </c>
    </row>
    <row r="384" spans="8:8" x14ac:dyDescent="0.35">
      <c r="H384" s="14">
        <v>381</v>
      </c>
    </row>
    <row r="385" spans="8:8" x14ac:dyDescent="0.35">
      <c r="H385" s="14">
        <v>382</v>
      </c>
    </row>
    <row r="386" spans="8:8" x14ac:dyDescent="0.35">
      <c r="H386" s="14">
        <v>383</v>
      </c>
    </row>
    <row r="387" spans="8:8" x14ac:dyDescent="0.35">
      <c r="H387" s="14">
        <v>384</v>
      </c>
    </row>
    <row r="388" spans="8:8" x14ac:dyDescent="0.35">
      <c r="H388" s="14">
        <v>385</v>
      </c>
    </row>
    <row r="389" spans="8:8" x14ac:dyDescent="0.35">
      <c r="H389" s="14">
        <v>386</v>
      </c>
    </row>
    <row r="390" spans="8:8" x14ac:dyDescent="0.35">
      <c r="H390" s="14">
        <v>387</v>
      </c>
    </row>
    <row r="391" spans="8:8" x14ac:dyDescent="0.35">
      <c r="H391" s="14">
        <v>388</v>
      </c>
    </row>
    <row r="392" spans="8:8" x14ac:dyDescent="0.35">
      <c r="H392" s="14">
        <v>389</v>
      </c>
    </row>
    <row r="393" spans="8:8" x14ac:dyDescent="0.35">
      <c r="H393" s="14">
        <v>390</v>
      </c>
    </row>
    <row r="394" spans="8:8" x14ac:dyDescent="0.35">
      <c r="H394" s="14">
        <v>391</v>
      </c>
    </row>
    <row r="395" spans="8:8" x14ac:dyDescent="0.35">
      <c r="H395" s="14">
        <v>392</v>
      </c>
    </row>
    <row r="396" spans="8:8" x14ac:dyDescent="0.35">
      <c r="H396" s="14">
        <v>393</v>
      </c>
    </row>
    <row r="397" spans="8:8" x14ac:dyDescent="0.35">
      <c r="H397" s="14">
        <v>394</v>
      </c>
    </row>
    <row r="398" spans="8:8" x14ac:dyDescent="0.35">
      <c r="H398" s="14">
        <v>395</v>
      </c>
    </row>
    <row r="399" spans="8:8" x14ac:dyDescent="0.35">
      <c r="H399" s="14">
        <v>396</v>
      </c>
    </row>
    <row r="400" spans="8:8" x14ac:dyDescent="0.35">
      <c r="H400" s="14">
        <v>397</v>
      </c>
    </row>
    <row r="401" spans="8:8" x14ac:dyDescent="0.35">
      <c r="H401" s="14">
        <v>398</v>
      </c>
    </row>
    <row r="402" spans="8:8" x14ac:dyDescent="0.35">
      <c r="H402" s="14">
        <v>399</v>
      </c>
    </row>
    <row r="403" spans="8:8" x14ac:dyDescent="0.35">
      <c r="H403" s="14">
        <v>400</v>
      </c>
    </row>
    <row r="404" spans="8:8" x14ac:dyDescent="0.35">
      <c r="H404" s="14">
        <v>401</v>
      </c>
    </row>
    <row r="405" spans="8:8" x14ac:dyDescent="0.35">
      <c r="H405" s="14">
        <v>402</v>
      </c>
    </row>
    <row r="406" spans="8:8" x14ac:dyDescent="0.35">
      <c r="H406" s="14">
        <v>403</v>
      </c>
    </row>
    <row r="407" spans="8:8" x14ac:dyDescent="0.35">
      <c r="H407" s="14">
        <v>404</v>
      </c>
    </row>
    <row r="408" spans="8:8" x14ac:dyDescent="0.35">
      <c r="H408" s="14">
        <v>405</v>
      </c>
    </row>
    <row r="409" spans="8:8" x14ac:dyDescent="0.35">
      <c r="H409" s="14">
        <v>406</v>
      </c>
    </row>
    <row r="410" spans="8:8" x14ac:dyDescent="0.35">
      <c r="H410" s="14">
        <v>407</v>
      </c>
    </row>
    <row r="411" spans="8:8" x14ac:dyDescent="0.35">
      <c r="H411" s="14">
        <v>408</v>
      </c>
    </row>
    <row r="412" spans="8:8" x14ac:dyDescent="0.35">
      <c r="H412" s="14">
        <v>409</v>
      </c>
    </row>
    <row r="413" spans="8:8" x14ac:dyDescent="0.35">
      <c r="H413" s="14">
        <v>410</v>
      </c>
    </row>
    <row r="414" spans="8:8" x14ac:dyDescent="0.35">
      <c r="H414" s="14">
        <v>411</v>
      </c>
    </row>
    <row r="415" spans="8:8" x14ac:dyDescent="0.35">
      <c r="H415" s="14">
        <v>412</v>
      </c>
    </row>
    <row r="416" spans="8:8" x14ac:dyDescent="0.35">
      <c r="H416" s="14">
        <v>413</v>
      </c>
    </row>
    <row r="417" spans="8:8" x14ac:dyDescent="0.35">
      <c r="H417" s="14">
        <v>414</v>
      </c>
    </row>
    <row r="418" spans="8:8" x14ac:dyDescent="0.35">
      <c r="H418" s="14">
        <v>415</v>
      </c>
    </row>
    <row r="419" spans="8:8" x14ac:dyDescent="0.35">
      <c r="H419" s="14">
        <v>416</v>
      </c>
    </row>
    <row r="420" spans="8:8" x14ac:dyDescent="0.35">
      <c r="H420" s="14">
        <v>417</v>
      </c>
    </row>
    <row r="421" spans="8:8" x14ac:dyDescent="0.35">
      <c r="H421" s="14">
        <v>418</v>
      </c>
    </row>
    <row r="422" spans="8:8" x14ac:dyDescent="0.35">
      <c r="H422" s="14">
        <v>419</v>
      </c>
    </row>
    <row r="423" spans="8:8" x14ac:dyDescent="0.35">
      <c r="H423" s="14">
        <v>420</v>
      </c>
    </row>
    <row r="424" spans="8:8" x14ac:dyDescent="0.35">
      <c r="H424" s="14">
        <v>421</v>
      </c>
    </row>
    <row r="425" spans="8:8" x14ac:dyDescent="0.35">
      <c r="H425" s="14">
        <v>422</v>
      </c>
    </row>
    <row r="426" spans="8:8" x14ac:dyDescent="0.35">
      <c r="H426" s="14">
        <v>423</v>
      </c>
    </row>
    <row r="427" spans="8:8" x14ac:dyDescent="0.35">
      <c r="H427" s="14">
        <v>424</v>
      </c>
    </row>
    <row r="428" spans="8:8" x14ac:dyDescent="0.35">
      <c r="H428" s="14">
        <v>425</v>
      </c>
    </row>
    <row r="429" spans="8:8" x14ac:dyDescent="0.35">
      <c r="H429" s="14">
        <v>426</v>
      </c>
    </row>
    <row r="430" spans="8:8" x14ac:dyDescent="0.35">
      <c r="H430" s="14">
        <v>427</v>
      </c>
    </row>
    <row r="431" spans="8:8" x14ac:dyDescent="0.35">
      <c r="H431" s="14">
        <v>428</v>
      </c>
    </row>
    <row r="432" spans="8:8" x14ac:dyDescent="0.35">
      <c r="H432" s="14">
        <v>429</v>
      </c>
    </row>
    <row r="433" spans="8:8" x14ac:dyDescent="0.35">
      <c r="H433" s="14">
        <v>430</v>
      </c>
    </row>
    <row r="434" spans="8:8" x14ac:dyDescent="0.35">
      <c r="H434" s="14">
        <v>431</v>
      </c>
    </row>
    <row r="435" spans="8:8" x14ac:dyDescent="0.35">
      <c r="H435" s="14">
        <v>432</v>
      </c>
    </row>
    <row r="436" spans="8:8" x14ac:dyDescent="0.35">
      <c r="H436" s="14">
        <v>433</v>
      </c>
    </row>
    <row r="437" spans="8:8" x14ac:dyDescent="0.35">
      <c r="H437" s="14">
        <v>434</v>
      </c>
    </row>
    <row r="438" spans="8:8" x14ac:dyDescent="0.35">
      <c r="H438" s="14">
        <v>435</v>
      </c>
    </row>
    <row r="439" spans="8:8" x14ac:dyDescent="0.35">
      <c r="H439" s="14">
        <v>436</v>
      </c>
    </row>
    <row r="440" spans="8:8" x14ac:dyDescent="0.35">
      <c r="H440" s="14">
        <v>437</v>
      </c>
    </row>
    <row r="441" spans="8:8" x14ac:dyDescent="0.35">
      <c r="H441" s="14">
        <v>438</v>
      </c>
    </row>
    <row r="442" spans="8:8" x14ac:dyDescent="0.35">
      <c r="H442" s="14">
        <v>439</v>
      </c>
    </row>
    <row r="443" spans="8:8" x14ac:dyDescent="0.35">
      <c r="H443" s="14">
        <v>440</v>
      </c>
    </row>
    <row r="444" spans="8:8" x14ac:dyDescent="0.35">
      <c r="H444" s="14">
        <v>441</v>
      </c>
    </row>
    <row r="445" spans="8:8" x14ac:dyDescent="0.35">
      <c r="H445" s="14">
        <v>442</v>
      </c>
    </row>
    <row r="446" spans="8:8" x14ac:dyDescent="0.35">
      <c r="H446" s="14">
        <v>443</v>
      </c>
    </row>
    <row r="447" spans="8:8" x14ac:dyDescent="0.35">
      <c r="H447" s="14">
        <v>444</v>
      </c>
    </row>
    <row r="448" spans="8:8" x14ac:dyDescent="0.35">
      <c r="H448" s="14">
        <v>445</v>
      </c>
    </row>
    <row r="449" spans="8:8" x14ac:dyDescent="0.35">
      <c r="H449" s="14">
        <v>446</v>
      </c>
    </row>
    <row r="450" spans="8:8" x14ac:dyDescent="0.35">
      <c r="H450" s="14">
        <v>447</v>
      </c>
    </row>
    <row r="451" spans="8:8" x14ac:dyDescent="0.35">
      <c r="H451" s="14">
        <v>448</v>
      </c>
    </row>
  </sheetData>
  <sheetProtection sheet="1" objects="1" scenarios="1"/>
  <dataValidations count="3">
    <dataValidation type="list" allowBlank="1" showInputMessage="1" showErrorMessage="1" sqref="C4" xr:uid="{D20277F5-1F7A-4B5D-82A0-7C34862A641D}">
      <formula1>$H$4:$H$451</formula1>
    </dataValidation>
    <dataValidation type="date" errorStyle="warning" operator="greaterThanOrEqual" allowBlank="1" showInputMessage="1" showErrorMessage="1" errorTitle="Invalid Date" error="Confirm the date of the payment" promptTitle="Payment Date" prompt="Enter a date of 9/20/2021 or later" sqref="C5" xr:uid="{A392160F-58FD-4861-8B81-CE6A4138ECE5}">
      <formula1>44459</formula1>
    </dataValidation>
    <dataValidation type="decimal" allowBlank="1" showInputMessage="1" showErrorMessage="1" sqref="C6" xr:uid="{EB025FF1-30A0-4C17-A631-8DF085D8D999}">
      <formula1>1</formula1>
      <formula2>500000</formula2>
    </dataValidation>
  </dataValidation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Add_Payment">
                <anchor moveWithCells="1" sizeWithCells="1">
                  <from>
                    <xdr:col>0</xdr:col>
                    <xdr:colOff>241300</xdr:colOff>
                    <xdr:row>7</xdr:row>
                    <xdr:rowOff>19050</xdr:rowOff>
                  </from>
                  <to>
                    <xdr:col>3</xdr:col>
                    <xdr:colOff>0</xdr:colOff>
                    <xdr:row>9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9AC04-095F-4D5C-9F07-700845750E90}">
  <sheetPr codeName="Sheet4"/>
  <dimension ref="B1:J452"/>
  <sheetViews>
    <sheetView zoomScale="120" zoomScaleNormal="120" workbookViewId="0"/>
  </sheetViews>
  <sheetFormatPr defaultRowHeight="14.5" x14ac:dyDescent="0.35"/>
  <cols>
    <col min="1" max="1" width="2.54296875" customWidth="1"/>
    <col min="2" max="2" width="11.81640625" customWidth="1"/>
    <col min="3" max="3" width="11.453125" bestFit="1" customWidth="1"/>
    <col min="4" max="4" width="14.7265625" customWidth="1"/>
    <col min="5" max="5" width="14.453125" customWidth="1"/>
    <col min="6" max="6" width="28.54296875" bestFit="1" customWidth="1"/>
    <col min="7" max="7" width="16.81640625" bestFit="1" customWidth="1"/>
    <col min="10" max="10" width="16.81640625" bestFit="1" customWidth="1"/>
  </cols>
  <sheetData>
    <row r="1" spans="2:10" ht="25.5" x14ac:dyDescent="0.55000000000000004">
      <c r="B1" s="5" t="s">
        <v>0</v>
      </c>
    </row>
    <row r="2" spans="2:10" ht="18.5" x14ac:dyDescent="0.45">
      <c r="B2" s="6" t="s">
        <v>1873</v>
      </c>
    </row>
    <row r="4" spans="2:10" x14ac:dyDescent="0.35">
      <c r="B4" t="s">
        <v>1872</v>
      </c>
      <c r="C4" t="s">
        <v>1869</v>
      </c>
      <c r="D4" t="s">
        <v>1862</v>
      </c>
      <c r="E4" t="s">
        <v>1863</v>
      </c>
      <c r="F4" t="s">
        <v>1864</v>
      </c>
      <c r="G4" t="s">
        <v>1865</v>
      </c>
      <c r="H4" t="s">
        <v>1866</v>
      </c>
      <c r="I4" t="s">
        <v>1867</v>
      </c>
      <c r="J4" t="s">
        <v>1868</v>
      </c>
    </row>
    <row r="5" spans="2:10" x14ac:dyDescent="0.35">
      <c r="B5">
        <v>448</v>
      </c>
      <c r="C5" s="8">
        <v>250</v>
      </c>
      <c r="D5" t="s">
        <v>5</v>
      </c>
      <c r="E5" t="s">
        <v>6</v>
      </c>
      <c r="F5" t="s">
        <v>7</v>
      </c>
      <c r="G5" t="s">
        <v>8</v>
      </c>
      <c r="H5" t="s">
        <v>9</v>
      </c>
      <c r="I5" s="9" t="s">
        <v>1870</v>
      </c>
      <c r="J5" t="s">
        <v>10</v>
      </c>
    </row>
    <row r="6" spans="2:10" x14ac:dyDescent="0.35">
      <c r="B6">
        <v>447</v>
      </c>
      <c r="C6" s="8">
        <v>10000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  <c r="I6" s="9" t="s">
        <v>1871</v>
      </c>
      <c r="J6" t="s">
        <v>16</v>
      </c>
    </row>
    <row r="7" spans="2:10" x14ac:dyDescent="0.35">
      <c r="B7">
        <v>446</v>
      </c>
      <c r="C7" s="8">
        <v>250000</v>
      </c>
      <c r="D7" t="s">
        <v>17</v>
      </c>
      <c r="E7" t="s">
        <v>18</v>
      </c>
      <c r="F7" t="s">
        <v>19</v>
      </c>
      <c r="G7" t="s">
        <v>20</v>
      </c>
      <c r="H7" t="s">
        <v>21</v>
      </c>
      <c r="I7" s="9" t="s">
        <v>22</v>
      </c>
      <c r="J7" t="s">
        <v>23</v>
      </c>
    </row>
    <row r="8" spans="2:10" x14ac:dyDescent="0.35">
      <c r="B8">
        <v>445</v>
      </c>
      <c r="C8" s="8">
        <v>500</v>
      </c>
      <c r="D8" t="s">
        <v>24</v>
      </c>
      <c r="E8" t="s">
        <v>25</v>
      </c>
      <c r="F8" t="s">
        <v>26</v>
      </c>
      <c r="G8" t="s">
        <v>27</v>
      </c>
      <c r="H8" t="s">
        <v>15</v>
      </c>
      <c r="I8" s="9" t="s">
        <v>28</v>
      </c>
      <c r="J8" t="s">
        <v>29</v>
      </c>
    </row>
    <row r="9" spans="2:10" x14ac:dyDescent="0.35">
      <c r="B9">
        <v>444</v>
      </c>
      <c r="C9" s="8">
        <v>1000</v>
      </c>
      <c r="D9" t="s">
        <v>30</v>
      </c>
      <c r="E9" t="s">
        <v>31</v>
      </c>
      <c r="F9" t="s">
        <v>32</v>
      </c>
      <c r="G9" t="s">
        <v>33</v>
      </c>
      <c r="H9" t="s">
        <v>21</v>
      </c>
      <c r="I9" s="9" t="s">
        <v>34</v>
      </c>
      <c r="J9" t="s">
        <v>35</v>
      </c>
    </row>
    <row r="10" spans="2:10" x14ac:dyDescent="0.35">
      <c r="B10">
        <v>443</v>
      </c>
      <c r="C10" s="8">
        <v>2500</v>
      </c>
      <c r="D10" t="s">
        <v>36</v>
      </c>
      <c r="E10" t="s">
        <v>37</v>
      </c>
      <c r="F10" t="s">
        <v>38</v>
      </c>
      <c r="G10" t="s">
        <v>27</v>
      </c>
      <c r="H10" t="s">
        <v>15</v>
      </c>
      <c r="I10" s="9" t="s">
        <v>39</v>
      </c>
      <c r="J10" t="s">
        <v>40</v>
      </c>
    </row>
    <row r="11" spans="2:10" x14ac:dyDescent="0.35">
      <c r="B11">
        <v>442</v>
      </c>
      <c r="C11" s="8">
        <v>5000</v>
      </c>
      <c r="D11" t="s">
        <v>41</v>
      </c>
      <c r="E11" t="s">
        <v>42</v>
      </c>
      <c r="F11" t="s">
        <v>43</v>
      </c>
      <c r="G11" t="s">
        <v>27</v>
      </c>
      <c r="H11" t="s">
        <v>15</v>
      </c>
      <c r="I11" s="9" t="s">
        <v>44</v>
      </c>
      <c r="J11" t="s">
        <v>45</v>
      </c>
    </row>
    <row r="12" spans="2:10" x14ac:dyDescent="0.35">
      <c r="B12">
        <v>441</v>
      </c>
      <c r="C12" s="8">
        <v>500</v>
      </c>
      <c r="D12" t="s">
        <v>46</v>
      </c>
      <c r="E12" t="s">
        <v>47</v>
      </c>
      <c r="F12" t="s">
        <v>48</v>
      </c>
      <c r="G12" t="s">
        <v>27</v>
      </c>
      <c r="H12" t="s">
        <v>15</v>
      </c>
      <c r="I12" s="9" t="s">
        <v>49</v>
      </c>
      <c r="J12" t="s">
        <v>50</v>
      </c>
    </row>
    <row r="13" spans="2:10" x14ac:dyDescent="0.35">
      <c r="B13">
        <v>440</v>
      </c>
      <c r="C13" s="8">
        <v>2500</v>
      </c>
      <c r="D13" t="s">
        <v>51</v>
      </c>
      <c r="E13" t="s">
        <v>52</v>
      </c>
      <c r="F13" t="s">
        <v>53</v>
      </c>
      <c r="G13" t="s">
        <v>27</v>
      </c>
      <c r="H13" t="s">
        <v>15</v>
      </c>
      <c r="I13" s="9" t="s">
        <v>54</v>
      </c>
      <c r="J13" t="s">
        <v>55</v>
      </c>
    </row>
    <row r="14" spans="2:10" x14ac:dyDescent="0.35">
      <c r="B14">
        <v>439</v>
      </c>
      <c r="C14" s="8">
        <v>250</v>
      </c>
      <c r="D14" t="s">
        <v>56</v>
      </c>
      <c r="E14" t="s">
        <v>57</v>
      </c>
      <c r="F14" t="s">
        <v>58</v>
      </c>
      <c r="G14" t="s">
        <v>59</v>
      </c>
      <c r="H14" t="s">
        <v>15</v>
      </c>
      <c r="I14" s="9" t="s">
        <v>60</v>
      </c>
      <c r="J14" t="s">
        <v>61</v>
      </c>
    </row>
    <row r="15" spans="2:10" x14ac:dyDescent="0.35">
      <c r="B15">
        <v>438</v>
      </c>
      <c r="C15" s="8">
        <v>2500</v>
      </c>
      <c r="D15" t="s">
        <v>62</v>
      </c>
      <c r="E15" t="s">
        <v>63</v>
      </c>
      <c r="F15" t="s">
        <v>64</v>
      </c>
      <c r="G15" t="s">
        <v>27</v>
      </c>
      <c r="H15" t="s">
        <v>15</v>
      </c>
      <c r="I15" s="9" t="s">
        <v>65</v>
      </c>
      <c r="J15" t="s">
        <v>66</v>
      </c>
    </row>
    <row r="16" spans="2:10" x14ac:dyDescent="0.35">
      <c r="B16">
        <v>437</v>
      </c>
      <c r="C16" s="8">
        <v>1000</v>
      </c>
      <c r="D16" t="s">
        <v>67</v>
      </c>
      <c r="E16" t="s">
        <v>68</v>
      </c>
      <c r="F16" t="s">
        <v>69</v>
      </c>
      <c r="G16" t="s">
        <v>27</v>
      </c>
      <c r="H16" t="s">
        <v>15</v>
      </c>
      <c r="I16" s="9" t="s">
        <v>54</v>
      </c>
      <c r="J16" t="s">
        <v>70</v>
      </c>
    </row>
    <row r="17" spans="2:10" x14ac:dyDescent="0.35">
      <c r="B17">
        <v>436</v>
      </c>
      <c r="C17" s="8">
        <v>5000</v>
      </c>
      <c r="D17" t="s">
        <v>71</v>
      </c>
      <c r="E17" t="s">
        <v>72</v>
      </c>
      <c r="F17" t="s">
        <v>73</v>
      </c>
      <c r="G17" t="s">
        <v>27</v>
      </c>
      <c r="H17" t="s">
        <v>15</v>
      </c>
      <c r="I17" s="9" t="s">
        <v>74</v>
      </c>
      <c r="J17" t="s">
        <v>75</v>
      </c>
    </row>
    <row r="18" spans="2:10" x14ac:dyDescent="0.35">
      <c r="B18">
        <v>435</v>
      </c>
      <c r="C18" s="8">
        <v>5000</v>
      </c>
      <c r="D18" t="s">
        <v>76</v>
      </c>
      <c r="E18" t="s">
        <v>77</v>
      </c>
      <c r="F18" t="s">
        <v>78</v>
      </c>
      <c r="G18" t="s">
        <v>79</v>
      </c>
      <c r="H18" t="s">
        <v>9</v>
      </c>
      <c r="I18" s="9" t="s">
        <v>80</v>
      </c>
      <c r="J18" t="s">
        <v>81</v>
      </c>
    </row>
    <row r="19" spans="2:10" x14ac:dyDescent="0.35">
      <c r="B19">
        <v>434</v>
      </c>
      <c r="C19" s="8">
        <v>10000</v>
      </c>
      <c r="D19" t="s">
        <v>82</v>
      </c>
      <c r="E19" t="s">
        <v>83</v>
      </c>
      <c r="F19" t="s">
        <v>84</v>
      </c>
      <c r="G19" t="s">
        <v>27</v>
      </c>
      <c r="H19" t="s">
        <v>15</v>
      </c>
      <c r="I19" s="9" t="s">
        <v>28</v>
      </c>
      <c r="J19" t="s">
        <v>85</v>
      </c>
    </row>
    <row r="20" spans="2:10" x14ac:dyDescent="0.35">
      <c r="B20">
        <v>433</v>
      </c>
      <c r="C20" s="8">
        <v>250</v>
      </c>
      <c r="D20" t="s">
        <v>86</v>
      </c>
      <c r="E20" t="s">
        <v>87</v>
      </c>
      <c r="F20" t="s">
        <v>88</v>
      </c>
      <c r="G20" t="s">
        <v>27</v>
      </c>
      <c r="H20" t="s">
        <v>15</v>
      </c>
      <c r="I20" s="9" t="s">
        <v>89</v>
      </c>
      <c r="J20" t="s">
        <v>90</v>
      </c>
    </row>
    <row r="21" spans="2:10" x14ac:dyDescent="0.35">
      <c r="B21">
        <v>432</v>
      </c>
      <c r="C21" s="8">
        <v>500</v>
      </c>
      <c r="D21" t="s">
        <v>91</v>
      </c>
      <c r="E21" t="s">
        <v>25</v>
      </c>
      <c r="F21" t="s">
        <v>92</v>
      </c>
      <c r="G21" t="s">
        <v>27</v>
      </c>
      <c r="H21" t="s">
        <v>15</v>
      </c>
      <c r="I21" s="9" t="s">
        <v>44</v>
      </c>
      <c r="J21" t="s">
        <v>93</v>
      </c>
    </row>
    <row r="22" spans="2:10" x14ac:dyDescent="0.35">
      <c r="B22">
        <v>431</v>
      </c>
      <c r="C22" s="8">
        <v>500</v>
      </c>
      <c r="D22" t="s">
        <v>94</v>
      </c>
      <c r="E22" t="s">
        <v>95</v>
      </c>
      <c r="F22" t="s">
        <v>96</v>
      </c>
      <c r="G22" t="s">
        <v>27</v>
      </c>
      <c r="H22" t="s">
        <v>15</v>
      </c>
      <c r="I22" s="9" t="s">
        <v>44</v>
      </c>
      <c r="J22" t="s">
        <v>97</v>
      </c>
    </row>
    <row r="23" spans="2:10" x14ac:dyDescent="0.35">
      <c r="B23">
        <v>430</v>
      </c>
      <c r="C23" s="8">
        <v>500</v>
      </c>
      <c r="D23" t="s">
        <v>98</v>
      </c>
      <c r="E23" t="s">
        <v>99</v>
      </c>
      <c r="F23" t="s">
        <v>100</v>
      </c>
      <c r="G23" t="s">
        <v>101</v>
      </c>
      <c r="H23" t="s">
        <v>102</v>
      </c>
      <c r="I23" s="9" t="s">
        <v>103</v>
      </c>
      <c r="J23" t="s">
        <v>104</v>
      </c>
    </row>
    <row r="24" spans="2:10" x14ac:dyDescent="0.35">
      <c r="B24">
        <v>429</v>
      </c>
      <c r="C24" s="8">
        <v>1000</v>
      </c>
      <c r="D24" t="s">
        <v>105</v>
      </c>
      <c r="E24" t="s">
        <v>106</v>
      </c>
      <c r="F24" t="s">
        <v>107</v>
      </c>
      <c r="G24" t="s">
        <v>27</v>
      </c>
      <c r="H24" t="s">
        <v>15</v>
      </c>
      <c r="I24" s="9" t="s">
        <v>54</v>
      </c>
      <c r="J24" t="s">
        <v>108</v>
      </c>
    </row>
    <row r="25" spans="2:10" x14ac:dyDescent="0.35">
      <c r="B25">
        <v>428</v>
      </c>
      <c r="C25" s="8">
        <v>500</v>
      </c>
      <c r="D25" t="s">
        <v>109</v>
      </c>
      <c r="E25" t="s">
        <v>110</v>
      </c>
      <c r="F25" t="s">
        <v>111</v>
      </c>
      <c r="G25" t="s">
        <v>112</v>
      </c>
      <c r="H25" t="s">
        <v>15</v>
      </c>
      <c r="I25" s="9" t="s">
        <v>113</v>
      </c>
      <c r="J25" t="s">
        <v>114</v>
      </c>
    </row>
    <row r="26" spans="2:10" x14ac:dyDescent="0.35">
      <c r="B26">
        <v>427</v>
      </c>
      <c r="C26" s="8">
        <v>10000</v>
      </c>
      <c r="D26" t="s">
        <v>94</v>
      </c>
      <c r="E26" t="s">
        <v>115</v>
      </c>
      <c r="F26" t="s">
        <v>116</v>
      </c>
      <c r="G26" t="s">
        <v>27</v>
      </c>
      <c r="H26" t="s">
        <v>15</v>
      </c>
      <c r="I26" s="9" t="s">
        <v>49</v>
      </c>
      <c r="J26" t="s">
        <v>117</v>
      </c>
    </row>
    <row r="27" spans="2:10" x14ac:dyDescent="0.35">
      <c r="B27">
        <v>426</v>
      </c>
      <c r="C27" s="8">
        <v>1000</v>
      </c>
      <c r="D27" t="s">
        <v>118</v>
      </c>
      <c r="E27" t="s">
        <v>119</v>
      </c>
      <c r="F27" t="s">
        <v>120</v>
      </c>
      <c r="G27" t="s">
        <v>121</v>
      </c>
      <c r="H27" t="s">
        <v>21</v>
      </c>
      <c r="I27" s="9" t="s">
        <v>122</v>
      </c>
      <c r="J27" t="s">
        <v>123</v>
      </c>
    </row>
    <row r="28" spans="2:10" x14ac:dyDescent="0.35">
      <c r="B28">
        <v>425</v>
      </c>
      <c r="C28" s="8">
        <v>500</v>
      </c>
      <c r="D28" t="s">
        <v>124</v>
      </c>
      <c r="E28" t="s">
        <v>125</v>
      </c>
      <c r="F28" t="s">
        <v>126</v>
      </c>
      <c r="G28" t="s">
        <v>27</v>
      </c>
      <c r="H28" t="s">
        <v>15</v>
      </c>
      <c r="I28" s="9" t="s">
        <v>127</v>
      </c>
      <c r="J28" t="s">
        <v>128</v>
      </c>
    </row>
    <row r="29" spans="2:10" x14ac:dyDescent="0.35">
      <c r="B29">
        <v>424</v>
      </c>
      <c r="C29" s="8">
        <v>500</v>
      </c>
      <c r="D29" t="s">
        <v>129</v>
      </c>
      <c r="E29" t="s">
        <v>130</v>
      </c>
      <c r="F29" t="s">
        <v>131</v>
      </c>
      <c r="G29" t="s">
        <v>132</v>
      </c>
      <c r="H29" t="s">
        <v>133</v>
      </c>
      <c r="I29" s="9" t="s">
        <v>134</v>
      </c>
      <c r="J29" t="s">
        <v>135</v>
      </c>
    </row>
    <row r="30" spans="2:10" x14ac:dyDescent="0.35">
      <c r="B30">
        <v>423</v>
      </c>
      <c r="C30" s="8">
        <v>1000</v>
      </c>
      <c r="D30" t="s">
        <v>136</v>
      </c>
      <c r="E30" t="s">
        <v>137</v>
      </c>
      <c r="F30" t="s">
        <v>138</v>
      </c>
      <c r="G30" t="s">
        <v>139</v>
      </c>
      <c r="H30" t="s">
        <v>15</v>
      </c>
      <c r="I30" s="9" t="s">
        <v>140</v>
      </c>
      <c r="J30" t="s">
        <v>141</v>
      </c>
    </row>
    <row r="31" spans="2:10" x14ac:dyDescent="0.35">
      <c r="B31">
        <v>422</v>
      </c>
      <c r="C31" s="8">
        <v>2500</v>
      </c>
      <c r="D31" t="s">
        <v>76</v>
      </c>
      <c r="E31" t="s">
        <v>142</v>
      </c>
      <c r="F31" t="s">
        <v>143</v>
      </c>
      <c r="G31" t="s">
        <v>27</v>
      </c>
      <c r="H31" t="s">
        <v>15</v>
      </c>
      <c r="I31" s="9" t="s">
        <v>39</v>
      </c>
      <c r="J31" t="s">
        <v>144</v>
      </c>
    </row>
    <row r="32" spans="2:10" x14ac:dyDescent="0.35">
      <c r="B32">
        <v>421</v>
      </c>
      <c r="C32" s="8">
        <v>250</v>
      </c>
      <c r="D32" t="s">
        <v>145</v>
      </c>
      <c r="E32" t="s">
        <v>146</v>
      </c>
      <c r="F32" t="s">
        <v>147</v>
      </c>
      <c r="G32" t="s">
        <v>139</v>
      </c>
      <c r="H32" t="s">
        <v>15</v>
      </c>
      <c r="I32" s="9" t="s">
        <v>140</v>
      </c>
      <c r="J32" t="s">
        <v>148</v>
      </c>
    </row>
    <row r="33" spans="2:10" x14ac:dyDescent="0.35">
      <c r="B33">
        <v>420</v>
      </c>
      <c r="C33" s="8">
        <v>500</v>
      </c>
      <c r="D33" t="s">
        <v>149</v>
      </c>
      <c r="E33" t="s">
        <v>150</v>
      </c>
      <c r="F33" t="s">
        <v>151</v>
      </c>
      <c r="G33" t="s">
        <v>27</v>
      </c>
      <c r="H33" t="s">
        <v>15</v>
      </c>
      <c r="I33" s="9" t="s">
        <v>152</v>
      </c>
      <c r="J33" t="s">
        <v>153</v>
      </c>
    </row>
    <row r="34" spans="2:10" x14ac:dyDescent="0.35">
      <c r="B34">
        <v>419</v>
      </c>
      <c r="C34" s="8">
        <v>500</v>
      </c>
      <c r="D34" t="s">
        <v>154</v>
      </c>
      <c r="E34" t="s">
        <v>155</v>
      </c>
      <c r="F34" t="s">
        <v>156</v>
      </c>
      <c r="G34" t="s">
        <v>27</v>
      </c>
      <c r="H34" t="s">
        <v>15</v>
      </c>
      <c r="I34" s="9" t="s">
        <v>157</v>
      </c>
      <c r="J34" t="s">
        <v>158</v>
      </c>
    </row>
    <row r="35" spans="2:10" x14ac:dyDescent="0.35">
      <c r="B35">
        <v>418</v>
      </c>
      <c r="C35" s="8">
        <v>1000</v>
      </c>
      <c r="D35" t="s">
        <v>159</v>
      </c>
      <c r="E35" t="s">
        <v>160</v>
      </c>
      <c r="F35" t="s">
        <v>161</v>
      </c>
      <c r="G35" t="s">
        <v>162</v>
      </c>
      <c r="H35" t="s">
        <v>163</v>
      </c>
      <c r="I35" s="9" t="s">
        <v>164</v>
      </c>
      <c r="J35" t="s">
        <v>165</v>
      </c>
    </row>
    <row r="36" spans="2:10" x14ac:dyDescent="0.35">
      <c r="B36">
        <v>417</v>
      </c>
      <c r="C36" s="8">
        <v>1000</v>
      </c>
      <c r="D36" t="s">
        <v>166</v>
      </c>
      <c r="E36" t="s">
        <v>167</v>
      </c>
      <c r="F36" t="s">
        <v>168</v>
      </c>
      <c r="G36" t="s">
        <v>139</v>
      </c>
      <c r="H36" t="s">
        <v>15</v>
      </c>
      <c r="I36" s="9" t="s">
        <v>140</v>
      </c>
      <c r="J36" t="s">
        <v>169</v>
      </c>
    </row>
    <row r="37" spans="2:10" x14ac:dyDescent="0.35">
      <c r="B37">
        <v>416</v>
      </c>
      <c r="C37" s="8">
        <v>250</v>
      </c>
      <c r="D37" t="s">
        <v>170</v>
      </c>
      <c r="E37" t="s">
        <v>171</v>
      </c>
      <c r="F37" t="s">
        <v>172</v>
      </c>
      <c r="G37" t="s">
        <v>173</v>
      </c>
      <c r="H37" t="s">
        <v>174</v>
      </c>
      <c r="I37" s="9">
        <v>87505</v>
      </c>
      <c r="J37" t="s">
        <v>175</v>
      </c>
    </row>
    <row r="38" spans="2:10" x14ac:dyDescent="0.35">
      <c r="B38">
        <v>415</v>
      </c>
      <c r="C38" s="8">
        <v>500</v>
      </c>
      <c r="D38" t="s">
        <v>176</v>
      </c>
      <c r="E38" t="s">
        <v>177</v>
      </c>
      <c r="F38" t="s">
        <v>178</v>
      </c>
      <c r="G38" t="s">
        <v>27</v>
      </c>
      <c r="H38" t="s">
        <v>15</v>
      </c>
      <c r="I38" s="9" t="s">
        <v>157</v>
      </c>
      <c r="J38" t="s">
        <v>179</v>
      </c>
    </row>
    <row r="39" spans="2:10" x14ac:dyDescent="0.35">
      <c r="B39">
        <v>414</v>
      </c>
      <c r="C39" s="8">
        <v>500</v>
      </c>
      <c r="D39" t="s">
        <v>180</v>
      </c>
      <c r="E39" t="s">
        <v>181</v>
      </c>
      <c r="F39" t="s">
        <v>182</v>
      </c>
      <c r="G39" t="s">
        <v>27</v>
      </c>
      <c r="H39" t="s">
        <v>15</v>
      </c>
      <c r="I39" s="9" t="s">
        <v>28</v>
      </c>
      <c r="J39" t="s">
        <v>183</v>
      </c>
    </row>
    <row r="40" spans="2:10" x14ac:dyDescent="0.35">
      <c r="B40">
        <v>413</v>
      </c>
      <c r="C40" s="8">
        <v>2500</v>
      </c>
      <c r="D40" t="s">
        <v>184</v>
      </c>
      <c r="E40" t="s">
        <v>110</v>
      </c>
      <c r="F40" t="s">
        <v>185</v>
      </c>
      <c r="G40" t="s">
        <v>186</v>
      </c>
      <c r="H40" t="s">
        <v>15</v>
      </c>
      <c r="I40" s="9" t="s">
        <v>187</v>
      </c>
      <c r="J40" t="s">
        <v>188</v>
      </c>
    </row>
    <row r="41" spans="2:10" x14ac:dyDescent="0.35">
      <c r="B41">
        <v>412</v>
      </c>
      <c r="C41" s="8">
        <v>250</v>
      </c>
      <c r="D41" t="s">
        <v>189</v>
      </c>
      <c r="E41" t="s">
        <v>190</v>
      </c>
      <c r="F41" t="s">
        <v>191</v>
      </c>
      <c r="G41" t="s">
        <v>192</v>
      </c>
      <c r="H41" t="s">
        <v>193</v>
      </c>
      <c r="I41" s="9" t="s">
        <v>194</v>
      </c>
      <c r="J41" t="s">
        <v>195</v>
      </c>
    </row>
    <row r="42" spans="2:10" x14ac:dyDescent="0.35">
      <c r="B42">
        <v>411</v>
      </c>
      <c r="C42" s="8">
        <v>250</v>
      </c>
      <c r="D42" t="s">
        <v>196</v>
      </c>
      <c r="E42" t="s">
        <v>197</v>
      </c>
      <c r="F42" t="s">
        <v>198</v>
      </c>
      <c r="G42" t="s">
        <v>199</v>
      </c>
      <c r="H42" t="s">
        <v>193</v>
      </c>
      <c r="I42" s="9" t="s">
        <v>200</v>
      </c>
      <c r="J42" t="s">
        <v>201</v>
      </c>
    </row>
    <row r="43" spans="2:10" x14ac:dyDescent="0.35">
      <c r="B43">
        <v>410</v>
      </c>
      <c r="C43" s="8">
        <v>250</v>
      </c>
      <c r="D43" t="s">
        <v>202</v>
      </c>
      <c r="E43" t="s">
        <v>203</v>
      </c>
      <c r="F43" t="s">
        <v>204</v>
      </c>
      <c r="G43" t="s">
        <v>27</v>
      </c>
      <c r="H43" t="s">
        <v>15</v>
      </c>
      <c r="I43" s="9" t="s">
        <v>89</v>
      </c>
      <c r="J43" t="s">
        <v>205</v>
      </c>
    </row>
    <row r="44" spans="2:10" x14ac:dyDescent="0.35">
      <c r="B44">
        <v>409</v>
      </c>
      <c r="C44" s="8">
        <v>500</v>
      </c>
      <c r="D44" t="s">
        <v>206</v>
      </c>
      <c r="E44" t="s">
        <v>207</v>
      </c>
      <c r="F44" t="s">
        <v>208</v>
      </c>
      <c r="G44" t="s">
        <v>27</v>
      </c>
      <c r="H44" t="s">
        <v>15</v>
      </c>
      <c r="I44" s="9" t="s">
        <v>39</v>
      </c>
      <c r="J44" t="s">
        <v>209</v>
      </c>
    </row>
    <row r="45" spans="2:10" x14ac:dyDescent="0.35">
      <c r="B45">
        <v>408</v>
      </c>
      <c r="C45" s="8">
        <v>500</v>
      </c>
      <c r="D45" t="s">
        <v>210</v>
      </c>
      <c r="E45" t="s">
        <v>211</v>
      </c>
      <c r="F45" t="s">
        <v>212</v>
      </c>
      <c r="G45" t="s">
        <v>112</v>
      </c>
      <c r="H45" t="s">
        <v>15</v>
      </c>
      <c r="I45" s="9" t="s">
        <v>113</v>
      </c>
      <c r="J45" t="s">
        <v>213</v>
      </c>
    </row>
    <row r="46" spans="2:10" x14ac:dyDescent="0.35">
      <c r="B46">
        <v>407</v>
      </c>
      <c r="C46" s="8">
        <v>25000</v>
      </c>
      <c r="D46" t="s">
        <v>214</v>
      </c>
      <c r="E46" t="s">
        <v>215</v>
      </c>
      <c r="F46" t="s">
        <v>216</v>
      </c>
      <c r="G46" t="s">
        <v>27</v>
      </c>
      <c r="H46" t="s">
        <v>15</v>
      </c>
      <c r="I46" s="9" t="s">
        <v>127</v>
      </c>
      <c r="J46" t="s">
        <v>217</v>
      </c>
    </row>
    <row r="47" spans="2:10" x14ac:dyDescent="0.35">
      <c r="B47">
        <v>406</v>
      </c>
      <c r="C47" s="8">
        <v>5000</v>
      </c>
      <c r="D47" t="s">
        <v>218</v>
      </c>
      <c r="E47" t="s">
        <v>219</v>
      </c>
      <c r="F47" t="s">
        <v>220</v>
      </c>
      <c r="G47" t="s">
        <v>221</v>
      </c>
      <c r="H47" t="s">
        <v>15</v>
      </c>
      <c r="I47" s="9" t="s">
        <v>222</v>
      </c>
      <c r="J47" t="s">
        <v>223</v>
      </c>
    </row>
    <row r="48" spans="2:10" x14ac:dyDescent="0.35">
      <c r="B48">
        <v>405</v>
      </c>
      <c r="C48" s="8">
        <v>250</v>
      </c>
      <c r="D48" t="s">
        <v>224</v>
      </c>
      <c r="E48" t="s">
        <v>225</v>
      </c>
      <c r="F48" t="s">
        <v>226</v>
      </c>
      <c r="G48" t="s">
        <v>227</v>
      </c>
      <c r="H48" t="s">
        <v>15</v>
      </c>
      <c r="I48" s="9" t="s">
        <v>228</v>
      </c>
      <c r="J48" t="s">
        <v>229</v>
      </c>
    </row>
    <row r="49" spans="2:10" x14ac:dyDescent="0.35">
      <c r="B49">
        <v>404</v>
      </c>
      <c r="C49" s="8">
        <v>500</v>
      </c>
      <c r="D49" t="s">
        <v>230</v>
      </c>
      <c r="E49" t="s">
        <v>231</v>
      </c>
      <c r="F49" t="s">
        <v>232</v>
      </c>
      <c r="G49" t="s">
        <v>233</v>
      </c>
      <c r="H49" t="s">
        <v>15</v>
      </c>
      <c r="I49" s="9" t="s">
        <v>234</v>
      </c>
      <c r="J49" t="s">
        <v>235</v>
      </c>
    </row>
    <row r="50" spans="2:10" x14ac:dyDescent="0.35">
      <c r="B50">
        <v>403</v>
      </c>
      <c r="C50" s="8">
        <v>500</v>
      </c>
      <c r="D50" t="s">
        <v>236</v>
      </c>
      <c r="E50" t="s">
        <v>237</v>
      </c>
      <c r="F50" t="s">
        <v>238</v>
      </c>
      <c r="G50" t="s">
        <v>27</v>
      </c>
      <c r="H50" t="s">
        <v>15</v>
      </c>
      <c r="I50" s="9" t="s">
        <v>127</v>
      </c>
      <c r="J50" t="s">
        <v>239</v>
      </c>
    </row>
    <row r="51" spans="2:10" x14ac:dyDescent="0.35">
      <c r="B51">
        <v>402</v>
      </c>
      <c r="C51" s="8">
        <v>250</v>
      </c>
      <c r="D51" t="s">
        <v>240</v>
      </c>
      <c r="E51" t="s">
        <v>241</v>
      </c>
      <c r="F51" t="s">
        <v>242</v>
      </c>
      <c r="G51" t="s">
        <v>139</v>
      </c>
      <c r="H51" t="s">
        <v>15</v>
      </c>
      <c r="I51" s="9" t="s">
        <v>140</v>
      </c>
      <c r="J51" t="s">
        <v>243</v>
      </c>
    </row>
    <row r="52" spans="2:10" x14ac:dyDescent="0.35">
      <c r="B52">
        <v>401</v>
      </c>
      <c r="C52" s="8">
        <v>500</v>
      </c>
      <c r="D52" t="s">
        <v>244</v>
      </c>
      <c r="E52" t="s">
        <v>245</v>
      </c>
      <c r="F52" t="s">
        <v>246</v>
      </c>
      <c r="G52" t="s">
        <v>247</v>
      </c>
      <c r="H52" t="s">
        <v>248</v>
      </c>
      <c r="I52" s="9" t="s">
        <v>249</v>
      </c>
      <c r="J52" t="s">
        <v>250</v>
      </c>
    </row>
    <row r="53" spans="2:10" x14ac:dyDescent="0.35">
      <c r="B53">
        <v>400</v>
      </c>
      <c r="C53" s="8">
        <v>500</v>
      </c>
      <c r="D53" t="s">
        <v>251</v>
      </c>
      <c r="E53" t="s">
        <v>203</v>
      </c>
      <c r="F53" t="s">
        <v>252</v>
      </c>
      <c r="G53" t="s">
        <v>186</v>
      </c>
      <c r="H53" t="s">
        <v>15</v>
      </c>
      <c r="I53" s="9" t="s">
        <v>187</v>
      </c>
      <c r="J53" t="s">
        <v>253</v>
      </c>
    </row>
    <row r="54" spans="2:10" x14ac:dyDescent="0.35">
      <c r="B54">
        <v>399</v>
      </c>
      <c r="C54" s="8">
        <v>500</v>
      </c>
      <c r="D54" t="s">
        <v>254</v>
      </c>
      <c r="E54" t="s">
        <v>255</v>
      </c>
      <c r="F54" t="s">
        <v>256</v>
      </c>
      <c r="G54" t="s">
        <v>27</v>
      </c>
      <c r="H54" t="s">
        <v>15</v>
      </c>
      <c r="I54" s="9" t="s">
        <v>152</v>
      </c>
      <c r="J54" t="s">
        <v>257</v>
      </c>
    </row>
    <row r="55" spans="2:10" x14ac:dyDescent="0.35">
      <c r="B55">
        <v>398</v>
      </c>
      <c r="C55" s="8">
        <v>1000</v>
      </c>
      <c r="D55" t="s">
        <v>258</v>
      </c>
      <c r="E55" t="s">
        <v>259</v>
      </c>
      <c r="F55" t="s">
        <v>260</v>
      </c>
      <c r="G55" t="s">
        <v>27</v>
      </c>
      <c r="H55" t="s">
        <v>15</v>
      </c>
      <c r="I55" s="9" t="s">
        <v>127</v>
      </c>
      <c r="J55" t="s">
        <v>261</v>
      </c>
    </row>
    <row r="56" spans="2:10" x14ac:dyDescent="0.35">
      <c r="B56">
        <v>397</v>
      </c>
      <c r="C56" s="8">
        <v>250</v>
      </c>
      <c r="D56" t="s">
        <v>76</v>
      </c>
      <c r="E56" t="s">
        <v>262</v>
      </c>
      <c r="F56" t="s">
        <v>263</v>
      </c>
      <c r="G56" t="s">
        <v>264</v>
      </c>
      <c r="H56" t="s">
        <v>15</v>
      </c>
      <c r="I56" s="9" t="s">
        <v>265</v>
      </c>
      <c r="J56" t="s">
        <v>266</v>
      </c>
    </row>
    <row r="57" spans="2:10" x14ac:dyDescent="0.35">
      <c r="B57">
        <v>396</v>
      </c>
      <c r="C57" s="8">
        <v>250</v>
      </c>
      <c r="D57" t="s">
        <v>267</v>
      </c>
      <c r="E57" t="s">
        <v>268</v>
      </c>
      <c r="F57" t="s">
        <v>269</v>
      </c>
      <c r="G57" t="s">
        <v>27</v>
      </c>
      <c r="H57" t="s">
        <v>15</v>
      </c>
      <c r="I57" s="9" t="s">
        <v>49</v>
      </c>
      <c r="J57" t="s">
        <v>270</v>
      </c>
    </row>
    <row r="58" spans="2:10" x14ac:dyDescent="0.35">
      <c r="B58">
        <v>395</v>
      </c>
      <c r="C58" s="8">
        <v>500</v>
      </c>
      <c r="D58" t="s">
        <v>154</v>
      </c>
      <c r="E58" t="s">
        <v>271</v>
      </c>
      <c r="F58" t="s">
        <v>272</v>
      </c>
      <c r="G58" t="s">
        <v>27</v>
      </c>
      <c r="H58" t="s">
        <v>15</v>
      </c>
      <c r="I58" s="9" t="s">
        <v>273</v>
      </c>
      <c r="J58" t="s">
        <v>274</v>
      </c>
    </row>
    <row r="59" spans="2:10" x14ac:dyDescent="0.35">
      <c r="B59">
        <v>394</v>
      </c>
      <c r="C59" s="8">
        <v>500</v>
      </c>
      <c r="D59" t="s">
        <v>275</v>
      </c>
      <c r="E59" t="s">
        <v>276</v>
      </c>
      <c r="F59" t="s">
        <v>277</v>
      </c>
      <c r="G59" t="s">
        <v>27</v>
      </c>
      <c r="H59" t="s">
        <v>15</v>
      </c>
      <c r="I59" s="9" t="s">
        <v>54</v>
      </c>
      <c r="J59" t="s">
        <v>278</v>
      </c>
    </row>
    <row r="60" spans="2:10" x14ac:dyDescent="0.35">
      <c r="B60">
        <v>393</v>
      </c>
      <c r="C60" s="8">
        <v>250</v>
      </c>
      <c r="D60" t="s">
        <v>279</v>
      </c>
      <c r="E60" t="s">
        <v>280</v>
      </c>
      <c r="F60" t="s">
        <v>281</v>
      </c>
      <c r="G60" t="s">
        <v>27</v>
      </c>
      <c r="H60" t="s">
        <v>15</v>
      </c>
      <c r="I60" s="9" t="s">
        <v>28</v>
      </c>
      <c r="J60" t="s">
        <v>282</v>
      </c>
    </row>
    <row r="61" spans="2:10" x14ac:dyDescent="0.35">
      <c r="B61">
        <v>392</v>
      </c>
      <c r="C61" s="8">
        <v>1000</v>
      </c>
      <c r="D61" t="s">
        <v>283</v>
      </c>
      <c r="E61" t="s">
        <v>284</v>
      </c>
      <c r="F61" t="s">
        <v>285</v>
      </c>
      <c r="G61" t="s">
        <v>286</v>
      </c>
      <c r="H61" t="s">
        <v>15</v>
      </c>
      <c r="I61" s="9" t="s">
        <v>287</v>
      </c>
      <c r="J61" t="s">
        <v>288</v>
      </c>
    </row>
    <row r="62" spans="2:10" x14ac:dyDescent="0.35">
      <c r="B62">
        <v>391</v>
      </c>
      <c r="C62" s="8">
        <v>1000</v>
      </c>
      <c r="D62" t="s">
        <v>289</v>
      </c>
      <c r="E62" t="s">
        <v>290</v>
      </c>
      <c r="F62" t="s">
        <v>291</v>
      </c>
      <c r="G62" t="s">
        <v>27</v>
      </c>
      <c r="H62" t="s">
        <v>15</v>
      </c>
      <c r="I62" s="9" t="s">
        <v>292</v>
      </c>
      <c r="J62" t="s">
        <v>293</v>
      </c>
    </row>
    <row r="63" spans="2:10" x14ac:dyDescent="0.35">
      <c r="B63">
        <v>390</v>
      </c>
      <c r="C63" s="8">
        <v>250</v>
      </c>
      <c r="D63" t="s">
        <v>294</v>
      </c>
      <c r="E63" t="s">
        <v>295</v>
      </c>
      <c r="F63" t="s">
        <v>296</v>
      </c>
      <c r="G63" t="s">
        <v>297</v>
      </c>
      <c r="H63" t="s">
        <v>9</v>
      </c>
      <c r="I63" s="9" t="s">
        <v>298</v>
      </c>
      <c r="J63" t="s">
        <v>299</v>
      </c>
    </row>
    <row r="64" spans="2:10" x14ac:dyDescent="0.35">
      <c r="B64">
        <v>389</v>
      </c>
      <c r="C64" s="8">
        <v>250</v>
      </c>
      <c r="D64" t="s">
        <v>251</v>
      </c>
      <c r="E64" t="s">
        <v>300</v>
      </c>
      <c r="F64" t="s">
        <v>301</v>
      </c>
      <c r="G64" t="s">
        <v>27</v>
      </c>
      <c r="H64" t="s">
        <v>15</v>
      </c>
      <c r="I64" s="9" t="s">
        <v>28</v>
      </c>
      <c r="J64" t="s">
        <v>302</v>
      </c>
    </row>
    <row r="65" spans="2:10" x14ac:dyDescent="0.35">
      <c r="B65">
        <v>388</v>
      </c>
      <c r="C65" s="8">
        <v>2500</v>
      </c>
      <c r="D65" t="s">
        <v>303</v>
      </c>
      <c r="E65" t="s">
        <v>304</v>
      </c>
      <c r="F65" t="s">
        <v>305</v>
      </c>
      <c r="G65" t="s">
        <v>139</v>
      </c>
      <c r="H65" t="s">
        <v>15</v>
      </c>
      <c r="I65" s="9" t="s">
        <v>140</v>
      </c>
      <c r="J65" t="s">
        <v>306</v>
      </c>
    </row>
    <row r="66" spans="2:10" x14ac:dyDescent="0.35">
      <c r="B66">
        <v>387</v>
      </c>
      <c r="C66" s="8">
        <v>250</v>
      </c>
      <c r="D66" t="s">
        <v>307</v>
      </c>
      <c r="E66" t="s">
        <v>259</v>
      </c>
      <c r="F66" t="s">
        <v>308</v>
      </c>
      <c r="G66" t="s">
        <v>27</v>
      </c>
      <c r="H66" t="s">
        <v>15</v>
      </c>
      <c r="I66" s="9" t="s">
        <v>39</v>
      </c>
      <c r="J66" t="s">
        <v>309</v>
      </c>
    </row>
    <row r="67" spans="2:10" x14ac:dyDescent="0.35">
      <c r="B67">
        <v>386</v>
      </c>
      <c r="C67" s="8">
        <v>1000</v>
      </c>
      <c r="D67" t="s">
        <v>310</v>
      </c>
      <c r="E67" t="s">
        <v>311</v>
      </c>
      <c r="F67" t="s">
        <v>312</v>
      </c>
      <c r="G67" t="s">
        <v>27</v>
      </c>
      <c r="H67" t="s">
        <v>15</v>
      </c>
      <c r="I67" s="9" t="s">
        <v>44</v>
      </c>
      <c r="J67" t="s">
        <v>313</v>
      </c>
    </row>
    <row r="68" spans="2:10" x14ac:dyDescent="0.35">
      <c r="B68">
        <v>385</v>
      </c>
      <c r="C68" s="8">
        <v>250</v>
      </c>
      <c r="D68" t="s">
        <v>314</v>
      </c>
      <c r="E68" t="s">
        <v>315</v>
      </c>
      <c r="F68" t="s">
        <v>316</v>
      </c>
      <c r="G68" t="s">
        <v>27</v>
      </c>
      <c r="H68" t="s">
        <v>15</v>
      </c>
      <c r="I68" s="9" t="s">
        <v>28</v>
      </c>
      <c r="J68" t="s">
        <v>317</v>
      </c>
    </row>
    <row r="69" spans="2:10" x14ac:dyDescent="0.35">
      <c r="B69">
        <v>384</v>
      </c>
      <c r="C69" s="8">
        <v>500</v>
      </c>
      <c r="D69" t="s">
        <v>318</v>
      </c>
      <c r="E69" t="s">
        <v>25</v>
      </c>
      <c r="F69" t="s">
        <v>319</v>
      </c>
      <c r="G69" t="s">
        <v>27</v>
      </c>
      <c r="H69" t="s">
        <v>15</v>
      </c>
      <c r="I69" s="9" t="s">
        <v>127</v>
      </c>
      <c r="J69" t="s">
        <v>320</v>
      </c>
    </row>
    <row r="70" spans="2:10" x14ac:dyDescent="0.35">
      <c r="B70">
        <v>383</v>
      </c>
      <c r="C70" s="8">
        <v>500</v>
      </c>
      <c r="D70" t="s">
        <v>321</v>
      </c>
      <c r="E70" t="s">
        <v>322</v>
      </c>
      <c r="F70" t="s">
        <v>323</v>
      </c>
      <c r="G70" t="s">
        <v>27</v>
      </c>
      <c r="H70" t="s">
        <v>15</v>
      </c>
      <c r="I70" s="9" t="s">
        <v>74</v>
      </c>
      <c r="J70" t="s">
        <v>324</v>
      </c>
    </row>
    <row r="71" spans="2:10" x14ac:dyDescent="0.35">
      <c r="B71">
        <v>382</v>
      </c>
      <c r="C71" s="8">
        <v>250</v>
      </c>
      <c r="D71" t="s">
        <v>325</v>
      </c>
      <c r="E71" t="s">
        <v>326</v>
      </c>
      <c r="F71" t="s">
        <v>327</v>
      </c>
      <c r="G71" t="s">
        <v>27</v>
      </c>
      <c r="H71" t="s">
        <v>15</v>
      </c>
      <c r="I71" s="9" t="s">
        <v>54</v>
      </c>
      <c r="J71" t="s">
        <v>328</v>
      </c>
    </row>
    <row r="72" spans="2:10" x14ac:dyDescent="0.35">
      <c r="B72">
        <v>381</v>
      </c>
      <c r="C72" s="8">
        <v>250</v>
      </c>
      <c r="D72" t="s">
        <v>329</v>
      </c>
      <c r="E72" t="s">
        <v>315</v>
      </c>
      <c r="F72" t="s">
        <v>330</v>
      </c>
      <c r="G72" t="s">
        <v>27</v>
      </c>
      <c r="H72" t="s">
        <v>15</v>
      </c>
      <c r="I72" s="9" t="s">
        <v>74</v>
      </c>
      <c r="J72" t="s">
        <v>331</v>
      </c>
    </row>
    <row r="73" spans="2:10" x14ac:dyDescent="0.35">
      <c r="B73">
        <v>380</v>
      </c>
      <c r="C73" s="8">
        <v>1000</v>
      </c>
      <c r="D73" t="s">
        <v>332</v>
      </c>
      <c r="E73" t="s">
        <v>333</v>
      </c>
      <c r="F73" t="s">
        <v>334</v>
      </c>
      <c r="G73" t="s">
        <v>335</v>
      </c>
      <c r="H73" t="s">
        <v>9</v>
      </c>
      <c r="I73" s="9" t="s">
        <v>336</v>
      </c>
      <c r="J73" t="s">
        <v>337</v>
      </c>
    </row>
    <row r="74" spans="2:10" x14ac:dyDescent="0.35">
      <c r="B74">
        <v>379</v>
      </c>
      <c r="C74" s="8">
        <v>500</v>
      </c>
      <c r="D74" t="s">
        <v>338</v>
      </c>
      <c r="E74" t="s">
        <v>339</v>
      </c>
      <c r="F74" t="s">
        <v>340</v>
      </c>
      <c r="G74" t="s">
        <v>341</v>
      </c>
      <c r="H74" t="s">
        <v>15</v>
      </c>
      <c r="I74" s="9" t="s">
        <v>342</v>
      </c>
      <c r="J74" t="s">
        <v>343</v>
      </c>
    </row>
    <row r="75" spans="2:10" x14ac:dyDescent="0.35">
      <c r="B75">
        <v>378</v>
      </c>
      <c r="C75" s="8">
        <v>500</v>
      </c>
      <c r="D75" t="s">
        <v>344</v>
      </c>
      <c r="E75" t="s">
        <v>345</v>
      </c>
      <c r="F75" t="s">
        <v>346</v>
      </c>
      <c r="G75" t="s">
        <v>347</v>
      </c>
      <c r="H75" t="s">
        <v>15</v>
      </c>
      <c r="I75" s="9" t="s">
        <v>348</v>
      </c>
      <c r="J75" t="s">
        <v>349</v>
      </c>
    </row>
    <row r="76" spans="2:10" x14ac:dyDescent="0.35">
      <c r="B76">
        <v>377</v>
      </c>
      <c r="C76" s="8">
        <v>250</v>
      </c>
      <c r="D76" t="s">
        <v>332</v>
      </c>
      <c r="E76" t="s">
        <v>350</v>
      </c>
      <c r="F76" t="s">
        <v>351</v>
      </c>
      <c r="G76" t="s">
        <v>335</v>
      </c>
      <c r="H76" t="s">
        <v>9</v>
      </c>
      <c r="I76" s="9" t="s">
        <v>352</v>
      </c>
      <c r="J76" t="s">
        <v>353</v>
      </c>
    </row>
    <row r="77" spans="2:10" x14ac:dyDescent="0.35">
      <c r="B77">
        <v>376</v>
      </c>
      <c r="C77" s="8">
        <v>250</v>
      </c>
      <c r="D77" t="s">
        <v>354</v>
      </c>
      <c r="E77" t="s">
        <v>355</v>
      </c>
      <c r="F77" t="s">
        <v>356</v>
      </c>
      <c r="G77" t="s">
        <v>357</v>
      </c>
      <c r="H77" t="s">
        <v>133</v>
      </c>
      <c r="I77" s="9" t="s">
        <v>358</v>
      </c>
      <c r="J77" t="s">
        <v>359</v>
      </c>
    </row>
    <row r="78" spans="2:10" x14ac:dyDescent="0.35">
      <c r="B78">
        <v>375</v>
      </c>
      <c r="C78" s="8">
        <v>250</v>
      </c>
      <c r="D78" t="s">
        <v>360</v>
      </c>
      <c r="E78" t="s">
        <v>361</v>
      </c>
      <c r="F78" t="s">
        <v>362</v>
      </c>
      <c r="G78" t="s">
        <v>363</v>
      </c>
      <c r="H78" t="s">
        <v>364</v>
      </c>
      <c r="I78" s="9" t="s">
        <v>365</v>
      </c>
      <c r="J78" t="s">
        <v>366</v>
      </c>
    </row>
    <row r="79" spans="2:10" x14ac:dyDescent="0.35">
      <c r="B79">
        <v>374</v>
      </c>
      <c r="C79" s="8">
        <v>500</v>
      </c>
      <c r="D79" t="s">
        <v>367</v>
      </c>
      <c r="E79" t="s">
        <v>368</v>
      </c>
      <c r="F79" t="s">
        <v>369</v>
      </c>
      <c r="G79" t="s">
        <v>227</v>
      </c>
      <c r="H79" t="s">
        <v>15</v>
      </c>
      <c r="I79" s="9" t="s">
        <v>228</v>
      </c>
      <c r="J79" t="s">
        <v>370</v>
      </c>
    </row>
    <row r="80" spans="2:10" x14ac:dyDescent="0.35">
      <c r="B80">
        <v>373</v>
      </c>
      <c r="C80" s="8">
        <v>500</v>
      </c>
      <c r="D80" t="s">
        <v>367</v>
      </c>
      <c r="E80" t="s">
        <v>371</v>
      </c>
      <c r="F80" t="s">
        <v>372</v>
      </c>
      <c r="G80" t="s">
        <v>335</v>
      </c>
      <c r="H80" t="s">
        <v>9</v>
      </c>
      <c r="I80" s="9" t="s">
        <v>373</v>
      </c>
      <c r="J80" t="s">
        <v>374</v>
      </c>
    </row>
    <row r="81" spans="2:10" x14ac:dyDescent="0.35">
      <c r="B81">
        <v>372</v>
      </c>
      <c r="C81" s="8">
        <v>5000</v>
      </c>
      <c r="D81" t="s">
        <v>375</v>
      </c>
      <c r="E81" t="s">
        <v>376</v>
      </c>
      <c r="F81" t="s">
        <v>377</v>
      </c>
      <c r="G81" t="s">
        <v>378</v>
      </c>
      <c r="H81" t="s">
        <v>15</v>
      </c>
      <c r="I81" s="9" t="s">
        <v>379</v>
      </c>
      <c r="J81" t="s">
        <v>380</v>
      </c>
    </row>
    <row r="82" spans="2:10" x14ac:dyDescent="0.35">
      <c r="B82">
        <v>371</v>
      </c>
      <c r="C82" s="8">
        <v>250</v>
      </c>
      <c r="D82" t="s">
        <v>381</v>
      </c>
      <c r="E82" t="s">
        <v>382</v>
      </c>
      <c r="F82" t="s">
        <v>383</v>
      </c>
      <c r="G82" t="s">
        <v>335</v>
      </c>
      <c r="H82" t="s">
        <v>9</v>
      </c>
      <c r="I82" s="9" t="s">
        <v>384</v>
      </c>
      <c r="J82" t="s">
        <v>385</v>
      </c>
    </row>
    <row r="83" spans="2:10" x14ac:dyDescent="0.35">
      <c r="B83">
        <v>370</v>
      </c>
      <c r="C83" s="8">
        <v>250</v>
      </c>
      <c r="D83" t="s">
        <v>386</v>
      </c>
      <c r="E83" t="s">
        <v>387</v>
      </c>
      <c r="F83" t="s">
        <v>388</v>
      </c>
      <c r="G83" t="s">
        <v>389</v>
      </c>
      <c r="H83" t="s">
        <v>15</v>
      </c>
      <c r="I83" s="9" t="s">
        <v>390</v>
      </c>
      <c r="J83" t="s">
        <v>391</v>
      </c>
    </row>
    <row r="84" spans="2:10" x14ac:dyDescent="0.35">
      <c r="B84">
        <v>369</v>
      </c>
      <c r="C84" s="8">
        <v>1000</v>
      </c>
      <c r="D84" t="s">
        <v>392</v>
      </c>
      <c r="E84" t="s">
        <v>393</v>
      </c>
      <c r="F84" t="s">
        <v>394</v>
      </c>
      <c r="G84" t="s">
        <v>59</v>
      </c>
      <c r="H84" t="s">
        <v>15</v>
      </c>
      <c r="I84" s="9" t="s">
        <v>60</v>
      </c>
      <c r="J84" t="s">
        <v>395</v>
      </c>
    </row>
    <row r="85" spans="2:10" x14ac:dyDescent="0.35">
      <c r="B85">
        <v>368</v>
      </c>
      <c r="C85" s="8">
        <v>250</v>
      </c>
      <c r="D85" t="s">
        <v>396</v>
      </c>
      <c r="E85" t="s">
        <v>397</v>
      </c>
      <c r="F85" t="s">
        <v>398</v>
      </c>
      <c r="G85" t="s">
        <v>399</v>
      </c>
      <c r="H85" t="s">
        <v>15</v>
      </c>
      <c r="I85" s="9" t="s">
        <v>400</v>
      </c>
      <c r="J85" t="s">
        <v>401</v>
      </c>
    </row>
    <row r="86" spans="2:10" x14ac:dyDescent="0.35">
      <c r="B86">
        <v>367</v>
      </c>
      <c r="C86" s="8">
        <v>500</v>
      </c>
      <c r="D86" t="s">
        <v>402</v>
      </c>
      <c r="E86" t="s">
        <v>403</v>
      </c>
      <c r="F86" t="s">
        <v>404</v>
      </c>
      <c r="G86" t="s">
        <v>27</v>
      </c>
      <c r="H86" t="s">
        <v>15</v>
      </c>
      <c r="I86" s="9" t="s">
        <v>405</v>
      </c>
      <c r="J86" t="s">
        <v>406</v>
      </c>
    </row>
    <row r="87" spans="2:10" x14ac:dyDescent="0.35">
      <c r="B87">
        <v>366</v>
      </c>
      <c r="C87" s="8">
        <v>1000</v>
      </c>
      <c r="D87" t="s">
        <v>407</v>
      </c>
      <c r="E87" t="s">
        <v>408</v>
      </c>
      <c r="F87" t="s">
        <v>409</v>
      </c>
      <c r="G87" t="s">
        <v>112</v>
      </c>
      <c r="H87" t="s">
        <v>15</v>
      </c>
      <c r="I87" s="9" t="s">
        <v>113</v>
      </c>
      <c r="J87" t="s">
        <v>410</v>
      </c>
    </row>
    <row r="88" spans="2:10" x14ac:dyDescent="0.35">
      <c r="B88">
        <v>365</v>
      </c>
      <c r="C88" s="8">
        <v>50000</v>
      </c>
      <c r="D88" t="s">
        <v>76</v>
      </c>
      <c r="E88" t="s">
        <v>411</v>
      </c>
      <c r="F88" t="s">
        <v>412</v>
      </c>
      <c r="G88" t="s">
        <v>27</v>
      </c>
      <c r="H88" t="s">
        <v>15</v>
      </c>
      <c r="I88" s="9" t="s">
        <v>413</v>
      </c>
      <c r="J88" t="s">
        <v>414</v>
      </c>
    </row>
    <row r="89" spans="2:10" x14ac:dyDescent="0.35">
      <c r="B89">
        <v>364</v>
      </c>
      <c r="C89" s="8">
        <v>500</v>
      </c>
      <c r="D89" t="s">
        <v>415</v>
      </c>
      <c r="E89" t="s">
        <v>416</v>
      </c>
      <c r="F89" t="s">
        <v>417</v>
      </c>
      <c r="G89" t="s">
        <v>27</v>
      </c>
      <c r="H89" t="s">
        <v>15</v>
      </c>
      <c r="I89" s="9" t="s">
        <v>89</v>
      </c>
      <c r="J89" t="s">
        <v>418</v>
      </c>
    </row>
    <row r="90" spans="2:10" x14ac:dyDescent="0.35">
      <c r="B90">
        <v>363</v>
      </c>
      <c r="C90" s="8">
        <v>2500</v>
      </c>
      <c r="D90" t="s">
        <v>419</v>
      </c>
      <c r="E90" t="s">
        <v>420</v>
      </c>
      <c r="F90" t="s">
        <v>421</v>
      </c>
      <c r="G90" t="s">
        <v>422</v>
      </c>
      <c r="H90" t="s">
        <v>423</v>
      </c>
      <c r="I90" s="9" t="s">
        <v>424</v>
      </c>
      <c r="J90" t="s">
        <v>425</v>
      </c>
    </row>
    <row r="91" spans="2:10" x14ac:dyDescent="0.35">
      <c r="B91">
        <v>362</v>
      </c>
      <c r="C91" s="8">
        <v>250</v>
      </c>
      <c r="D91" t="s">
        <v>426</v>
      </c>
      <c r="E91" t="s">
        <v>284</v>
      </c>
      <c r="F91" t="s">
        <v>427</v>
      </c>
      <c r="G91" t="s">
        <v>428</v>
      </c>
      <c r="H91" t="s">
        <v>429</v>
      </c>
      <c r="I91" s="9" t="s">
        <v>430</v>
      </c>
      <c r="J91" t="s">
        <v>431</v>
      </c>
    </row>
    <row r="92" spans="2:10" x14ac:dyDescent="0.35">
      <c r="B92">
        <v>361</v>
      </c>
      <c r="C92" s="8">
        <v>250</v>
      </c>
      <c r="D92" t="s">
        <v>76</v>
      </c>
      <c r="E92" t="s">
        <v>432</v>
      </c>
      <c r="F92" t="s">
        <v>433</v>
      </c>
      <c r="G92" t="s">
        <v>27</v>
      </c>
      <c r="H92" t="s">
        <v>15</v>
      </c>
      <c r="I92" s="9" t="s">
        <v>39</v>
      </c>
      <c r="J92" t="s">
        <v>434</v>
      </c>
    </row>
    <row r="93" spans="2:10" x14ac:dyDescent="0.35">
      <c r="B93">
        <v>360</v>
      </c>
      <c r="C93" s="8">
        <v>500</v>
      </c>
      <c r="D93" t="s">
        <v>435</v>
      </c>
      <c r="E93" t="s">
        <v>436</v>
      </c>
      <c r="F93" t="s">
        <v>437</v>
      </c>
      <c r="G93" t="s">
        <v>139</v>
      </c>
      <c r="H93" t="s">
        <v>15</v>
      </c>
      <c r="I93" s="9" t="s">
        <v>140</v>
      </c>
      <c r="J93" t="s">
        <v>438</v>
      </c>
    </row>
    <row r="94" spans="2:10" x14ac:dyDescent="0.35">
      <c r="B94">
        <v>359</v>
      </c>
      <c r="C94" s="8">
        <v>250</v>
      </c>
      <c r="D94" t="s">
        <v>439</v>
      </c>
      <c r="E94" t="s">
        <v>440</v>
      </c>
      <c r="F94" t="s">
        <v>441</v>
      </c>
      <c r="G94" t="s">
        <v>27</v>
      </c>
      <c r="H94" t="s">
        <v>15</v>
      </c>
      <c r="I94" s="9" t="s">
        <v>89</v>
      </c>
      <c r="J94" t="s">
        <v>442</v>
      </c>
    </row>
    <row r="95" spans="2:10" x14ac:dyDescent="0.35">
      <c r="B95">
        <v>358</v>
      </c>
      <c r="C95" s="8">
        <v>250</v>
      </c>
      <c r="D95" t="s">
        <v>443</v>
      </c>
      <c r="E95" t="s">
        <v>444</v>
      </c>
      <c r="F95" t="s">
        <v>445</v>
      </c>
      <c r="G95" t="s">
        <v>446</v>
      </c>
      <c r="H95" t="s">
        <v>9</v>
      </c>
      <c r="I95" s="9" t="s">
        <v>447</v>
      </c>
      <c r="J95" t="s">
        <v>448</v>
      </c>
    </row>
    <row r="96" spans="2:10" x14ac:dyDescent="0.35">
      <c r="B96">
        <v>357</v>
      </c>
      <c r="C96" s="8">
        <v>250</v>
      </c>
      <c r="D96" t="s">
        <v>449</v>
      </c>
      <c r="E96" t="s">
        <v>450</v>
      </c>
      <c r="F96" t="s">
        <v>451</v>
      </c>
      <c r="G96" t="s">
        <v>452</v>
      </c>
      <c r="H96" t="s">
        <v>15</v>
      </c>
      <c r="I96" s="9" t="s">
        <v>453</v>
      </c>
      <c r="J96" t="s">
        <v>454</v>
      </c>
    </row>
    <row r="97" spans="2:10" x14ac:dyDescent="0.35">
      <c r="B97">
        <v>356</v>
      </c>
      <c r="C97" s="8">
        <v>250</v>
      </c>
      <c r="D97" t="s">
        <v>129</v>
      </c>
      <c r="E97" t="s">
        <v>455</v>
      </c>
      <c r="F97" t="s">
        <v>456</v>
      </c>
      <c r="G97" t="s">
        <v>457</v>
      </c>
      <c r="H97" t="s">
        <v>458</v>
      </c>
      <c r="I97" s="9" t="s">
        <v>459</v>
      </c>
      <c r="J97" t="s">
        <v>460</v>
      </c>
    </row>
    <row r="98" spans="2:10" x14ac:dyDescent="0.35">
      <c r="B98">
        <v>355</v>
      </c>
      <c r="C98" s="8">
        <v>500</v>
      </c>
      <c r="D98" t="s">
        <v>461</v>
      </c>
      <c r="E98" t="s">
        <v>462</v>
      </c>
      <c r="F98" t="s">
        <v>463</v>
      </c>
      <c r="G98" t="s">
        <v>27</v>
      </c>
      <c r="H98" t="s">
        <v>15</v>
      </c>
      <c r="I98" s="9" t="s">
        <v>292</v>
      </c>
      <c r="J98" t="s">
        <v>464</v>
      </c>
    </row>
    <row r="99" spans="2:10" x14ac:dyDescent="0.35">
      <c r="B99">
        <v>354</v>
      </c>
      <c r="C99" s="8">
        <v>500</v>
      </c>
      <c r="D99" t="s">
        <v>94</v>
      </c>
      <c r="E99" t="s">
        <v>465</v>
      </c>
      <c r="F99" t="s">
        <v>466</v>
      </c>
      <c r="G99" t="s">
        <v>27</v>
      </c>
      <c r="H99" t="s">
        <v>15</v>
      </c>
      <c r="I99" s="9" t="s">
        <v>44</v>
      </c>
      <c r="J99" t="s">
        <v>467</v>
      </c>
    </row>
    <row r="100" spans="2:10" x14ac:dyDescent="0.35">
      <c r="B100">
        <v>353</v>
      </c>
      <c r="C100" s="8">
        <v>250</v>
      </c>
      <c r="D100" t="s">
        <v>36</v>
      </c>
      <c r="E100" t="s">
        <v>468</v>
      </c>
      <c r="F100" t="s">
        <v>469</v>
      </c>
      <c r="G100" t="s">
        <v>27</v>
      </c>
      <c r="H100" t="s">
        <v>15</v>
      </c>
      <c r="I100" s="9" t="s">
        <v>54</v>
      </c>
      <c r="J100" t="s">
        <v>470</v>
      </c>
    </row>
    <row r="101" spans="2:10" x14ac:dyDescent="0.35">
      <c r="B101">
        <v>352</v>
      </c>
      <c r="C101" s="8">
        <v>500</v>
      </c>
      <c r="D101" t="s">
        <v>471</v>
      </c>
      <c r="E101" t="s">
        <v>472</v>
      </c>
      <c r="F101" t="s">
        <v>473</v>
      </c>
      <c r="G101" t="s">
        <v>474</v>
      </c>
      <c r="H101" t="s">
        <v>429</v>
      </c>
      <c r="I101" s="9" t="s">
        <v>475</v>
      </c>
      <c r="J101" t="s">
        <v>476</v>
      </c>
    </row>
    <row r="102" spans="2:10" x14ac:dyDescent="0.35">
      <c r="B102">
        <v>351</v>
      </c>
      <c r="C102" s="8">
        <v>500000</v>
      </c>
      <c r="D102" t="s">
        <v>477</v>
      </c>
      <c r="E102" t="s">
        <v>478</v>
      </c>
      <c r="F102" t="s">
        <v>479</v>
      </c>
      <c r="G102" t="s">
        <v>27</v>
      </c>
      <c r="H102" t="s">
        <v>15</v>
      </c>
      <c r="I102" s="9" t="s">
        <v>405</v>
      </c>
      <c r="J102" t="s">
        <v>480</v>
      </c>
    </row>
    <row r="103" spans="2:10" x14ac:dyDescent="0.35">
      <c r="B103">
        <v>350</v>
      </c>
      <c r="C103" s="8">
        <v>250</v>
      </c>
      <c r="D103" t="s">
        <v>481</v>
      </c>
      <c r="E103" t="s">
        <v>482</v>
      </c>
      <c r="F103" t="s">
        <v>483</v>
      </c>
      <c r="G103" t="s">
        <v>139</v>
      </c>
      <c r="H103" t="s">
        <v>15</v>
      </c>
      <c r="I103" s="9" t="s">
        <v>140</v>
      </c>
      <c r="J103" t="s">
        <v>484</v>
      </c>
    </row>
    <row r="104" spans="2:10" x14ac:dyDescent="0.35">
      <c r="B104">
        <v>349</v>
      </c>
      <c r="C104" s="8">
        <v>500</v>
      </c>
      <c r="D104" t="s">
        <v>62</v>
      </c>
      <c r="E104" t="s">
        <v>485</v>
      </c>
      <c r="F104" t="s">
        <v>486</v>
      </c>
      <c r="G104" t="s">
        <v>487</v>
      </c>
      <c r="H104" t="s">
        <v>9</v>
      </c>
      <c r="I104" s="9" t="s">
        <v>488</v>
      </c>
      <c r="J104" t="s">
        <v>489</v>
      </c>
    </row>
    <row r="105" spans="2:10" x14ac:dyDescent="0.35">
      <c r="B105">
        <v>348</v>
      </c>
      <c r="C105" s="8">
        <v>1000</v>
      </c>
      <c r="D105" t="s">
        <v>490</v>
      </c>
      <c r="E105" t="s">
        <v>491</v>
      </c>
      <c r="F105" t="s">
        <v>492</v>
      </c>
      <c r="G105" t="s">
        <v>493</v>
      </c>
      <c r="H105" t="s">
        <v>193</v>
      </c>
      <c r="I105" s="9" t="s">
        <v>494</v>
      </c>
      <c r="J105" t="s">
        <v>495</v>
      </c>
    </row>
    <row r="106" spans="2:10" x14ac:dyDescent="0.35">
      <c r="B106">
        <v>347</v>
      </c>
      <c r="C106" s="8">
        <v>2500</v>
      </c>
      <c r="D106" t="s">
        <v>496</v>
      </c>
      <c r="E106" t="s">
        <v>497</v>
      </c>
      <c r="F106" t="s">
        <v>498</v>
      </c>
      <c r="G106" t="s">
        <v>499</v>
      </c>
      <c r="H106" t="s">
        <v>15</v>
      </c>
      <c r="I106" s="9" t="s">
        <v>500</v>
      </c>
      <c r="J106" t="s">
        <v>501</v>
      </c>
    </row>
    <row r="107" spans="2:10" x14ac:dyDescent="0.35">
      <c r="B107">
        <v>346</v>
      </c>
      <c r="C107" s="8">
        <v>500</v>
      </c>
      <c r="D107" t="s">
        <v>502</v>
      </c>
      <c r="E107" t="s">
        <v>503</v>
      </c>
      <c r="F107" t="s">
        <v>504</v>
      </c>
      <c r="G107" t="s">
        <v>335</v>
      </c>
      <c r="H107" t="s">
        <v>9</v>
      </c>
      <c r="I107" s="9" t="s">
        <v>505</v>
      </c>
      <c r="J107" t="s">
        <v>506</v>
      </c>
    </row>
    <row r="108" spans="2:10" x14ac:dyDescent="0.35">
      <c r="B108">
        <v>345</v>
      </c>
      <c r="C108" s="8">
        <v>500</v>
      </c>
      <c r="D108" t="s">
        <v>507</v>
      </c>
      <c r="E108" t="s">
        <v>508</v>
      </c>
      <c r="F108" t="s">
        <v>509</v>
      </c>
      <c r="G108" t="s">
        <v>510</v>
      </c>
      <c r="H108" t="s">
        <v>511</v>
      </c>
      <c r="I108" s="9" t="s">
        <v>512</v>
      </c>
      <c r="J108" t="s">
        <v>513</v>
      </c>
    </row>
    <row r="109" spans="2:10" x14ac:dyDescent="0.35">
      <c r="B109">
        <v>344</v>
      </c>
      <c r="C109" s="8">
        <v>500</v>
      </c>
      <c r="D109" t="s">
        <v>514</v>
      </c>
      <c r="E109" t="s">
        <v>515</v>
      </c>
      <c r="F109" t="s">
        <v>516</v>
      </c>
      <c r="G109" t="s">
        <v>27</v>
      </c>
      <c r="H109" t="s">
        <v>15</v>
      </c>
      <c r="I109" s="9" t="s">
        <v>39</v>
      </c>
      <c r="J109" t="s">
        <v>517</v>
      </c>
    </row>
    <row r="110" spans="2:10" x14ac:dyDescent="0.35">
      <c r="B110">
        <v>343</v>
      </c>
      <c r="C110" s="8">
        <v>500</v>
      </c>
      <c r="D110" t="s">
        <v>518</v>
      </c>
      <c r="E110" t="s">
        <v>519</v>
      </c>
      <c r="F110" t="s">
        <v>520</v>
      </c>
      <c r="G110" t="s">
        <v>27</v>
      </c>
      <c r="H110" t="s">
        <v>15</v>
      </c>
      <c r="I110" s="9" t="s">
        <v>292</v>
      </c>
      <c r="J110" t="s">
        <v>521</v>
      </c>
    </row>
    <row r="111" spans="2:10" x14ac:dyDescent="0.35">
      <c r="B111">
        <v>342</v>
      </c>
      <c r="C111" s="8">
        <v>1000</v>
      </c>
      <c r="D111" t="s">
        <v>176</v>
      </c>
      <c r="E111" t="s">
        <v>522</v>
      </c>
      <c r="F111" t="s">
        <v>523</v>
      </c>
      <c r="G111" t="s">
        <v>27</v>
      </c>
      <c r="H111" t="s">
        <v>15</v>
      </c>
      <c r="I111" s="9" t="s">
        <v>405</v>
      </c>
      <c r="J111" t="s">
        <v>524</v>
      </c>
    </row>
    <row r="112" spans="2:10" x14ac:dyDescent="0.35">
      <c r="B112">
        <v>341</v>
      </c>
      <c r="C112" s="8">
        <v>1000</v>
      </c>
      <c r="D112" t="s">
        <v>11</v>
      </c>
      <c r="E112" t="s">
        <v>525</v>
      </c>
      <c r="F112" t="s">
        <v>526</v>
      </c>
      <c r="G112" t="s">
        <v>27</v>
      </c>
      <c r="H112" t="s">
        <v>15</v>
      </c>
      <c r="I112" s="9" t="s">
        <v>39</v>
      </c>
      <c r="J112" t="s">
        <v>527</v>
      </c>
    </row>
    <row r="113" spans="2:10" x14ac:dyDescent="0.35">
      <c r="B113">
        <v>340</v>
      </c>
      <c r="C113" s="8">
        <v>25000</v>
      </c>
      <c r="D113" t="s">
        <v>528</v>
      </c>
      <c r="E113" t="s">
        <v>529</v>
      </c>
      <c r="F113" t="s">
        <v>530</v>
      </c>
      <c r="G113" t="s">
        <v>112</v>
      </c>
      <c r="H113" t="s">
        <v>15</v>
      </c>
      <c r="I113" s="9" t="s">
        <v>113</v>
      </c>
      <c r="J113" t="s">
        <v>531</v>
      </c>
    </row>
    <row r="114" spans="2:10" x14ac:dyDescent="0.35">
      <c r="B114">
        <v>339</v>
      </c>
      <c r="C114" s="8">
        <v>100000</v>
      </c>
      <c r="D114" t="s">
        <v>532</v>
      </c>
      <c r="E114" t="s">
        <v>77</v>
      </c>
      <c r="F114" t="s">
        <v>533</v>
      </c>
      <c r="G114" t="s">
        <v>186</v>
      </c>
      <c r="H114" t="s">
        <v>15</v>
      </c>
      <c r="I114" s="9" t="s">
        <v>187</v>
      </c>
      <c r="J114" t="s">
        <v>534</v>
      </c>
    </row>
    <row r="115" spans="2:10" x14ac:dyDescent="0.35">
      <c r="B115">
        <v>338</v>
      </c>
      <c r="C115" s="8">
        <v>250</v>
      </c>
      <c r="D115" t="s">
        <v>321</v>
      </c>
      <c r="E115" t="s">
        <v>535</v>
      </c>
      <c r="F115" t="s">
        <v>536</v>
      </c>
      <c r="G115" t="s">
        <v>139</v>
      </c>
      <c r="H115" t="s">
        <v>15</v>
      </c>
      <c r="I115" s="9" t="s">
        <v>140</v>
      </c>
      <c r="J115" t="s">
        <v>537</v>
      </c>
    </row>
    <row r="116" spans="2:10" x14ac:dyDescent="0.35">
      <c r="B116">
        <v>337</v>
      </c>
      <c r="C116" s="8">
        <v>250</v>
      </c>
      <c r="D116" t="s">
        <v>538</v>
      </c>
      <c r="E116" t="s">
        <v>539</v>
      </c>
      <c r="F116" t="s">
        <v>540</v>
      </c>
      <c r="G116" t="s">
        <v>27</v>
      </c>
      <c r="H116" t="s">
        <v>15</v>
      </c>
      <c r="I116" s="9" t="s">
        <v>152</v>
      </c>
      <c r="J116" t="s">
        <v>541</v>
      </c>
    </row>
    <row r="117" spans="2:10" x14ac:dyDescent="0.35">
      <c r="B117">
        <v>336</v>
      </c>
      <c r="C117" s="8">
        <v>250</v>
      </c>
      <c r="D117" t="s">
        <v>36</v>
      </c>
      <c r="E117" t="s">
        <v>542</v>
      </c>
      <c r="F117" t="s">
        <v>543</v>
      </c>
      <c r="G117" t="s">
        <v>27</v>
      </c>
      <c r="H117" t="s">
        <v>15</v>
      </c>
      <c r="I117" s="9" t="s">
        <v>405</v>
      </c>
      <c r="J117" t="s">
        <v>544</v>
      </c>
    </row>
    <row r="118" spans="2:10" x14ac:dyDescent="0.35">
      <c r="B118">
        <v>335</v>
      </c>
      <c r="C118" s="8">
        <v>500</v>
      </c>
      <c r="D118" t="s">
        <v>545</v>
      </c>
      <c r="E118" t="s">
        <v>546</v>
      </c>
      <c r="F118" t="s">
        <v>547</v>
      </c>
      <c r="G118" t="s">
        <v>27</v>
      </c>
      <c r="H118" t="s">
        <v>15</v>
      </c>
      <c r="I118" s="9" t="s">
        <v>28</v>
      </c>
      <c r="J118" t="s">
        <v>548</v>
      </c>
    </row>
    <row r="119" spans="2:10" x14ac:dyDescent="0.35">
      <c r="B119">
        <v>334</v>
      </c>
      <c r="C119" s="8">
        <v>500</v>
      </c>
      <c r="D119" t="s">
        <v>549</v>
      </c>
      <c r="E119" t="s">
        <v>550</v>
      </c>
      <c r="F119" t="s">
        <v>551</v>
      </c>
      <c r="G119" t="s">
        <v>112</v>
      </c>
      <c r="H119" t="s">
        <v>15</v>
      </c>
      <c r="I119" s="9" t="s">
        <v>113</v>
      </c>
      <c r="J119" t="s">
        <v>552</v>
      </c>
    </row>
    <row r="120" spans="2:10" x14ac:dyDescent="0.35">
      <c r="B120">
        <v>333</v>
      </c>
      <c r="C120" s="8">
        <v>1000</v>
      </c>
      <c r="D120" t="s">
        <v>553</v>
      </c>
      <c r="E120" t="s">
        <v>554</v>
      </c>
      <c r="F120" t="s">
        <v>555</v>
      </c>
      <c r="G120" t="s">
        <v>27</v>
      </c>
      <c r="H120" t="s">
        <v>15</v>
      </c>
      <c r="I120" s="9" t="s">
        <v>44</v>
      </c>
      <c r="J120" t="s">
        <v>556</v>
      </c>
    </row>
    <row r="121" spans="2:10" x14ac:dyDescent="0.35">
      <c r="B121">
        <v>332</v>
      </c>
      <c r="C121" s="8">
        <v>250</v>
      </c>
      <c r="D121" t="s">
        <v>557</v>
      </c>
      <c r="E121" t="s">
        <v>558</v>
      </c>
      <c r="F121" t="s">
        <v>559</v>
      </c>
      <c r="G121" t="s">
        <v>27</v>
      </c>
      <c r="H121" t="s">
        <v>15</v>
      </c>
      <c r="I121" s="9" t="s">
        <v>89</v>
      </c>
      <c r="J121" t="s">
        <v>560</v>
      </c>
    </row>
    <row r="122" spans="2:10" x14ac:dyDescent="0.35">
      <c r="B122">
        <v>331</v>
      </c>
      <c r="C122" s="8">
        <v>250</v>
      </c>
      <c r="D122" t="s">
        <v>561</v>
      </c>
      <c r="E122" t="s">
        <v>47</v>
      </c>
      <c r="F122" t="s">
        <v>562</v>
      </c>
      <c r="G122" t="s">
        <v>27</v>
      </c>
      <c r="H122" t="s">
        <v>15</v>
      </c>
      <c r="I122" s="9" t="s">
        <v>413</v>
      </c>
      <c r="J122" t="s">
        <v>563</v>
      </c>
    </row>
    <row r="123" spans="2:10" x14ac:dyDescent="0.35">
      <c r="B123">
        <v>330</v>
      </c>
      <c r="C123" s="8">
        <v>250</v>
      </c>
      <c r="D123" t="s">
        <v>402</v>
      </c>
      <c r="E123" t="s">
        <v>564</v>
      </c>
      <c r="F123" t="s">
        <v>565</v>
      </c>
      <c r="G123" t="s">
        <v>27</v>
      </c>
      <c r="H123" t="s">
        <v>15</v>
      </c>
      <c r="I123" s="9" t="s">
        <v>152</v>
      </c>
      <c r="J123" t="s">
        <v>566</v>
      </c>
    </row>
    <row r="124" spans="2:10" x14ac:dyDescent="0.35">
      <c r="B124">
        <v>329</v>
      </c>
      <c r="C124" s="8">
        <v>250</v>
      </c>
      <c r="D124" t="s">
        <v>206</v>
      </c>
      <c r="E124" t="s">
        <v>567</v>
      </c>
      <c r="F124" t="s">
        <v>568</v>
      </c>
      <c r="G124" t="s">
        <v>27</v>
      </c>
      <c r="H124" t="s">
        <v>15</v>
      </c>
      <c r="I124" s="9" t="s">
        <v>44</v>
      </c>
      <c r="J124" t="s">
        <v>569</v>
      </c>
    </row>
    <row r="125" spans="2:10" x14ac:dyDescent="0.35">
      <c r="B125">
        <v>328</v>
      </c>
      <c r="C125" s="8">
        <v>250</v>
      </c>
      <c r="D125" t="s">
        <v>570</v>
      </c>
      <c r="E125" t="s">
        <v>571</v>
      </c>
      <c r="F125" t="s">
        <v>572</v>
      </c>
      <c r="G125" t="s">
        <v>139</v>
      </c>
      <c r="H125" t="s">
        <v>15</v>
      </c>
      <c r="I125" s="9" t="s">
        <v>140</v>
      </c>
      <c r="J125" t="s">
        <v>573</v>
      </c>
    </row>
    <row r="126" spans="2:10" x14ac:dyDescent="0.35">
      <c r="B126">
        <v>327</v>
      </c>
      <c r="C126" s="8">
        <v>500</v>
      </c>
      <c r="D126" t="s">
        <v>402</v>
      </c>
      <c r="E126" t="s">
        <v>574</v>
      </c>
      <c r="F126" t="s">
        <v>575</v>
      </c>
      <c r="G126" t="s">
        <v>576</v>
      </c>
      <c r="H126" t="s">
        <v>21</v>
      </c>
      <c r="I126" s="9" t="s">
        <v>577</v>
      </c>
      <c r="J126" t="s">
        <v>578</v>
      </c>
    </row>
    <row r="127" spans="2:10" x14ac:dyDescent="0.35">
      <c r="B127">
        <v>326</v>
      </c>
      <c r="C127" s="8">
        <v>1000</v>
      </c>
      <c r="D127" t="s">
        <v>579</v>
      </c>
      <c r="E127" t="s">
        <v>580</v>
      </c>
      <c r="F127" t="s">
        <v>581</v>
      </c>
      <c r="G127" t="s">
        <v>27</v>
      </c>
      <c r="H127" t="s">
        <v>15</v>
      </c>
      <c r="I127" s="9" t="s">
        <v>413</v>
      </c>
      <c r="J127" t="s">
        <v>582</v>
      </c>
    </row>
    <row r="128" spans="2:10" x14ac:dyDescent="0.35">
      <c r="B128">
        <v>325</v>
      </c>
      <c r="C128" s="8">
        <v>250</v>
      </c>
      <c r="D128" t="s">
        <v>583</v>
      </c>
      <c r="E128" t="s">
        <v>584</v>
      </c>
      <c r="F128" t="s">
        <v>585</v>
      </c>
      <c r="G128" t="s">
        <v>27</v>
      </c>
      <c r="H128" t="s">
        <v>15</v>
      </c>
      <c r="I128" s="9" t="s">
        <v>49</v>
      </c>
      <c r="J128" t="s">
        <v>586</v>
      </c>
    </row>
    <row r="129" spans="2:10" x14ac:dyDescent="0.35">
      <c r="B129">
        <v>324</v>
      </c>
      <c r="C129" s="8">
        <v>250</v>
      </c>
      <c r="D129" t="s">
        <v>587</v>
      </c>
      <c r="E129" t="s">
        <v>588</v>
      </c>
      <c r="F129" t="s">
        <v>589</v>
      </c>
      <c r="G129" t="s">
        <v>335</v>
      </c>
      <c r="H129" t="s">
        <v>9</v>
      </c>
      <c r="I129" s="9" t="s">
        <v>590</v>
      </c>
      <c r="J129" t="s">
        <v>591</v>
      </c>
    </row>
    <row r="130" spans="2:10" x14ac:dyDescent="0.35">
      <c r="B130">
        <v>323</v>
      </c>
      <c r="C130" s="8">
        <v>250</v>
      </c>
      <c r="D130" t="s">
        <v>490</v>
      </c>
      <c r="E130" t="s">
        <v>592</v>
      </c>
      <c r="F130" t="s">
        <v>593</v>
      </c>
      <c r="G130" t="s">
        <v>27</v>
      </c>
      <c r="H130" t="s">
        <v>15</v>
      </c>
      <c r="I130" s="9" t="s">
        <v>44</v>
      </c>
      <c r="J130" t="s">
        <v>594</v>
      </c>
    </row>
    <row r="131" spans="2:10" x14ac:dyDescent="0.35">
      <c r="B131">
        <v>322</v>
      </c>
      <c r="C131" s="8">
        <v>250</v>
      </c>
      <c r="D131" t="s">
        <v>595</v>
      </c>
      <c r="E131" t="s">
        <v>596</v>
      </c>
      <c r="F131" t="s">
        <v>597</v>
      </c>
      <c r="G131" t="s">
        <v>598</v>
      </c>
      <c r="H131" t="s">
        <v>15</v>
      </c>
      <c r="I131" s="9" t="s">
        <v>599</v>
      </c>
      <c r="J131" t="s">
        <v>600</v>
      </c>
    </row>
    <row r="132" spans="2:10" x14ac:dyDescent="0.35">
      <c r="B132">
        <v>321</v>
      </c>
      <c r="C132" s="8">
        <v>500</v>
      </c>
      <c r="D132" t="s">
        <v>601</v>
      </c>
      <c r="E132" t="s">
        <v>602</v>
      </c>
      <c r="F132" t="s">
        <v>603</v>
      </c>
      <c r="G132" t="s">
        <v>335</v>
      </c>
      <c r="H132" t="s">
        <v>9</v>
      </c>
      <c r="I132" s="9" t="s">
        <v>604</v>
      </c>
      <c r="J132" t="s">
        <v>605</v>
      </c>
    </row>
    <row r="133" spans="2:10" x14ac:dyDescent="0.35">
      <c r="B133">
        <v>320</v>
      </c>
      <c r="C133" s="8">
        <v>500</v>
      </c>
      <c r="D133" t="s">
        <v>606</v>
      </c>
      <c r="E133" t="s">
        <v>607</v>
      </c>
      <c r="F133" t="s">
        <v>608</v>
      </c>
      <c r="G133" t="s">
        <v>27</v>
      </c>
      <c r="H133" t="s">
        <v>15</v>
      </c>
      <c r="I133" s="9" t="s">
        <v>39</v>
      </c>
      <c r="J133" t="s">
        <v>609</v>
      </c>
    </row>
    <row r="134" spans="2:10" x14ac:dyDescent="0.35">
      <c r="B134">
        <v>319</v>
      </c>
      <c r="C134" s="8">
        <v>2500</v>
      </c>
      <c r="D134" t="s">
        <v>610</v>
      </c>
      <c r="E134" t="s">
        <v>611</v>
      </c>
      <c r="F134" t="s">
        <v>612</v>
      </c>
      <c r="G134" t="s">
        <v>27</v>
      </c>
      <c r="H134" t="s">
        <v>15</v>
      </c>
      <c r="I134" s="9" t="s">
        <v>39</v>
      </c>
      <c r="J134" t="s">
        <v>613</v>
      </c>
    </row>
    <row r="135" spans="2:10" x14ac:dyDescent="0.35">
      <c r="B135">
        <v>318</v>
      </c>
      <c r="C135" s="8">
        <v>250</v>
      </c>
      <c r="D135" t="s">
        <v>94</v>
      </c>
      <c r="E135" t="s">
        <v>614</v>
      </c>
      <c r="F135" t="s">
        <v>615</v>
      </c>
      <c r="G135" t="s">
        <v>27</v>
      </c>
      <c r="H135" t="s">
        <v>15</v>
      </c>
      <c r="I135" s="9" t="s">
        <v>65</v>
      </c>
      <c r="J135" t="s">
        <v>616</v>
      </c>
    </row>
    <row r="136" spans="2:10" x14ac:dyDescent="0.35">
      <c r="B136">
        <v>317</v>
      </c>
      <c r="C136" s="8">
        <v>500</v>
      </c>
      <c r="D136" t="s">
        <v>617</v>
      </c>
      <c r="E136" t="s">
        <v>618</v>
      </c>
      <c r="F136" t="s">
        <v>619</v>
      </c>
      <c r="G136" t="s">
        <v>59</v>
      </c>
      <c r="H136" t="s">
        <v>15</v>
      </c>
      <c r="I136" s="9" t="s">
        <v>60</v>
      </c>
      <c r="J136" t="s">
        <v>620</v>
      </c>
    </row>
    <row r="137" spans="2:10" x14ac:dyDescent="0.35">
      <c r="B137">
        <v>316</v>
      </c>
      <c r="C137" s="8">
        <v>250</v>
      </c>
      <c r="D137" t="s">
        <v>307</v>
      </c>
      <c r="E137" t="s">
        <v>621</v>
      </c>
      <c r="F137" t="s">
        <v>622</v>
      </c>
      <c r="G137" t="s">
        <v>378</v>
      </c>
      <c r="H137" t="s">
        <v>15</v>
      </c>
      <c r="I137" s="9" t="s">
        <v>379</v>
      </c>
      <c r="J137" t="s">
        <v>484</v>
      </c>
    </row>
    <row r="138" spans="2:10" x14ac:dyDescent="0.35">
      <c r="B138">
        <v>315</v>
      </c>
      <c r="C138" s="8">
        <v>250</v>
      </c>
      <c r="D138" t="s">
        <v>623</v>
      </c>
      <c r="E138" t="s">
        <v>624</v>
      </c>
      <c r="F138" t="s">
        <v>625</v>
      </c>
      <c r="G138" t="s">
        <v>139</v>
      </c>
      <c r="H138" t="s">
        <v>15</v>
      </c>
      <c r="I138" s="9" t="s">
        <v>140</v>
      </c>
      <c r="J138" t="s">
        <v>626</v>
      </c>
    </row>
    <row r="139" spans="2:10" x14ac:dyDescent="0.35">
      <c r="B139">
        <v>314</v>
      </c>
      <c r="C139" s="8">
        <v>250</v>
      </c>
      <c r="D139" t="s">
        <v>627</v>
      </c>
      <c r="E139" t="s">
        <v>628</v>
      </c>
      <c r="F139" t="s">
        <v>629</v>
      </c>
      <c r="G139" t="s">
        <v>27</v>
      </c>
      <c r="H139" t="s">
        <v>15</v>
      </c>
      <c r="I139" s="9" t="s">
        <v>49</v>
      </c>
      <c r="J139" t="s">
        <v>630</v>
      </c>
    </row>
    <row r="140" spans="2:10" x14ac:dyDescent="0.35">
      <c r="B140">
        <v>313</v>
      </c>
      <c r="C140" s="8">
        <v>500</v>
      </c>
      <c r="D140" t="s">
        <v>118</v>
      </c>
      <c r="E140" t="s">
        <v>631</v>
      </c>
      <c r="F140" t="s">
        <v>632</v>
      </c>
      <c r="G140" t="s">
        <v>27</v>
      </c>
      <c r="H140" t="s">
        <v>15</v>
      </c>
      <c r="I140" s="9" t="s">
        <v>39</v>
      </c>
      <c r="J140" t="s">
        <v>633</v>
      </c>
    </row>
    <row r="141" spans="2:10" x14ac:dyDescent="0.35">
      <c r="B141">
        <v>312</v>
      </c>
      <c r="C141" s="8">
        <v>1000</v>
      </c>
      <c r="D141" t="s">
        <v>634</v>
      </c>
      <c r="E141" t="s">
        <v>602</v>
      </c>
      <c r="F141" t="s">
        <v>635</v>
      </c>
      <c r="G141" t="s">
        <v>112</v>
      </c>
      <c r="H141" t="s">
        <v>15</v>
      </c>
      <c r="I141" s="9" t="s">
        <v>113</v>
      </c>
      <c r="J141" t="s">
        <v>636</v>
      </c>
    </row>
    <row r="142" spans="2:10" x14ac:dyDescent="0.35">
      <c r="B142">
        <v>311</v>
      </c>
      <c r="C142" s="8">
        <v>1000</v>
      </c>
      <c r="D142" t="s">
        <v>637</v>
      </c>
      <c r="E142" t="s">
        <v>638</v>
      </c>
      <c r="F142" t="s">
        <v>639</v>
      </c>
      <c r="G142" t="s">
        <v>139</v>
      </c>
      <c r="H142" t="s">
        <v>15</v>
      </c>
      <c r="I142" s="9" t="s">
        <v>140</v>
      </c>
      <c r="J142" t="s">
        <v>640</v>
      </c>
    </row>
    <row r="143" spans="2:10" x14ac:dyDescent="0.35">
      <c r="B143">
        <v>310</v>
      </c>
      <c r="C143" s="8">
        <v>1000</v>
      </c>
      <c r="D143" t="s">
        <v>314</v>
      </c>
      <c r="E143" t="s">
        <v>641</v>
      </c>
      <c r="F143" t="s">
        <v>642</v>
      </c>
      <c r="G143" t="s">
        <v>643</v>
      </c>
      <c r="H143" t="s">
        <v>644</v>
      </c>
      <c r="I143" s="9" t="s">
        <v>645</v>
      </c>
      <c r="J143" t="s">
        <v>646</v>
      </c>
    </row>
    <row r="144" spans="2:10" x14ac:dyDescent="0.35">
      <c r="B144">
        <v>309</v>
      </c>
      <c r="C144" s="8">
        <v>500</v>
      </c>
      <c r="D144" t="s">
        <v>647</v>
      </c>
      <c r="E144" t="s">
        <v>648</v>
      </c>
      <c r="F144" t="s">
        <v>649</v>
      </c>
      <c r="G144" t="s">
        <v>27</v>
      </c>
      <c r="H144" t="s">
        <v>15</v>
      </c>
      <c r="I144" s="9" t="s">
        <v>127</v>
      </c>
      <c r="J144" t="s">
        <v>650</v>
      </c>
    </row>
    <row r="145" spans="2:10" x14ac:dyDescent="0.35">
      <c r="B145">
        <v>308</v>
      </c>
      <c r="C145" s="8">
        <v>5000</v>
      </c>
      <c r="D145" t="s">
        <v>651</v>
      </c>
      <c r="E145" t="s">
        <v>652</v>
      </c>
      <c r="F145" t="s">
        <v>653</v>
      </c>
      <c r="G145" t="s">
        <v>59</v>
      </c>
      <c r="H145" t="s">
        <v>15</v>
      </c>
      <c r="I145" s="9" t="s">
        <v>60</v>
      </c>
      <c r="J145" t="s">
        <v>654</v>
      </c>
    </row>
    <row r="146" spans="2:10" x14ac:dyDescent="0.35">
      <c r="B146">
        <v>307</v>
      </c>
      <c r="C146" s="8">
        <v>250</v>
      </c>
      <c r="D146" t="s">
        <v>655</v>
      </c>
      <c r="E146" t="s">
        <v>656</v>
      </c>
      <c r="F146" t="s">
        <v>657</v>
      </c>
      <c r="G146" t="s">
        <v>27</v>
      </c>
      <c r="H146" t="s">
        <v>15</v>
      </c>
      <c r="I146" s="9" t="s">
        <v>28</v>
      </c>
      <c r="J146" t="s">
        <v>658</v>
      </c>
    </row>
    <row r="147" spans="2:10" x14ac:dyDescent="0.35">
      <c r="B147">
        <v>306</v>
      </c>
      <c r="C147" s="8">
        <v>250</v>
      </c>
      <c r="D147" t="s">
        <v>396</v>
      </c>
      <c r="E147" t="s">
        <v>659</v>
      </c>
      <c r="F147" t="s">
        <v>660</v>
      </c>
      <c r="G147" t="s">
        <v>661</v>
      </c>
      <c r="H147" t="s">
        <v>248</v>
      </c>
      <c r="I147" s="9" t="s">
        <v>662</v>
      </c>
      <c r="J147" t="s">
        <v>663</v>
      </c>
    </row>
    <row r="148" spans="2:10" x14ac:dyDescent="0.35">
      <c r="B148">
        <v>305</v>
      </c>
      <c r="C148" s="8">
        <v>1000</v>
      </c>
      <c r="D148" t="s">
        <v>664</v>
      </c>
      <c r="E148" t="s">
        <v>665</v>
      </c>
      <c r="F148" t="s">
        <v>666</v>
      </c>
      <c r="G148" t="s">
        <v>667</v>
      </c>
      <c r="H148" t="s">
        <v>15</v>
      </c>
      <c r="I148" s="9" t="s">
        <v>668</v>
      </c>
      <c r="J148" t="s">
        <v>669</v>
      </c>
    </row>
    <row r="149" spans="2:10" x14ac:dyDescent="0.35">
      <c r="B149">
        <v>304</v>
      </c>
      <c r="C149" s="8">
        <v>250</v>
      </c>
      <c r="D149" t="s">
        <v>36</v>
      </c>
      <c r="E149" t="s">
        <v>670</v>
      </c>
      <c r="F149" t="s">
        <v>671</v>
      </c>
      <c r="G149" t="s">
        <v>672</v>
      </c>
      <c r="H149" t="s">
        <v>673</v>
      </c>
      <c r="I149" s="9" t="s">
        <v>674</v>
      </c>
      <c r="J149" t="s">
        <v>675</v>
      </c>
    </row>
    <row r="150" spans="2:10" x14ac:dyDescent="0.35">
      <c r="B150">
        <v>303</v>
      </c>
      <c r="C150" s="8">
        <v>500</v>
      </c>
      <c r="D150" t="s">
        <v>676</v>
      </c>
      <c r="E150" t="s">
        <v>677</v>
      </c>
      <c r="F150" t="s">
        <v>678</v>
      </c>
      <c r="G150" t="s">
        <v>679</v>
      </c>
      <c r="H150" t="s">
        <v>15</v>
      </c>
      <c r="I150" s="9" t="s">
        <v>680</v>
      </c>
      <c r="J150" t="s">
        <v>681</v>
      </c>
    </row>
    <row r="151" spans="2:10" x14ac:dyDescent="0.35">
      <c r="B151">
        <v>302</v>
      </c>
      <c r="C151" s="8">
        <v>1000</v>
      </c>
      <c r="D151" t="s">
        <v>682</v>
      </c>
      <c r="E151" t="s">
        <v>683</v>
      </c>
      <c r="F151" t="s">
        <v>684</v>
      </c>
      <c r="G151" t="s">
        <v>59</v>
      </c>
      <c r="H151" t="s">
        <v>15</v>
      </c>
      <c r="I151" s="9" t="s">
        <v>60</v>
      </c>
      <c r="J151" t="s">
        <v>685</v>
      </c>
    </row>
    <row r="152" spans="2:10" x14ac:dyDescent="0.35">
      <c r="B152">
        <v>301</v>
      </c>
      <c r="C152" s="8">
        <v>250</v>
      </c>
      <c r="D152" t="s">
        <v>686</v>
      </c>
      <c r="E152" t="s">
        <v>602</v>
      </c>
      <c r="F152" t="s">
        <v>687</v>
      </c>
      <c r="G152" t="s">
        <v>27</v>
      </c>
      <c r="H152" t="s">
        <v>15</v>
      </c>
      <c r="I152" s="9" t="s">
        <v>405</v>
      </c>
      <c r="J152" t="s">
        <v>688</v>
      </c>
    </row>
    <row r="153" spans="2:10" x14ac:dyDescent="0.35">
      <c r="B153">
        <v>300</v>
      </c>
      <c r="C153" s="8">
        <v>250</v>
      </c>
      <c r="D153" t="s">
        <v>689</v>
      </c>
      <c r="E153" t="s">
        <v>72</v>
      </c>
      <c r="F153" t="s">
        <v>690</v>
      </c>
      <c r="G153" t="s">
        <v>264</v>
      </c>
      <c r="H153" t="s">
        <v>15</v>
      </c>
      <c r="I153" s="9" t="s">
        <v>265</v>
      </c>
      <c r="J153" t="s">
        <v>691</v>
      </c>
    </row>
    <row r="154" spans="2:10" x14ac:dyDescent="0.35">
      <c r="B154">
        <v>299</v>
      </c>
      <c r="C154" s="8">
        <v>500</v>
      </c>
      <c r="D154" t="s">
        <v>76</v>
      </c>
      <c r="E154" t="s">
        <v>692</v>
      </c>
      <c r="F154" t="s">
        <v>693</v>
      </c>
      <c r="G154" t="s">
        <v>694</v>
      </c>
      <c r="H154" t="s">
        <v>364</v>
      </c>
      <c r="I154" s="9" t="s">
        <v>695</v>
      </c>
      <c r="J154" t="s">
        <v>696</v>
      </c>
    </row>
    <row r="155" spans="2:10" x14ac:dyDescent="0.35">
      <c r="B155">
        <v>298</v>
      </c>
      <c r="C155" s="8">
        <v>100000</v>
      </c>
      <c r="D155" t="s">
        <v>321</v>
      </c>
      <c r="E155" t="s">
        <v>697</v>
      </c>
      <c r="F155" t="s">
        <v>698</v>
      </c>
      <c r="G155" t="s">
        <v>79</v>
      </c>
      <c r="H155" t="s">
        <v>9</v>
      </c>
      <c r="I155" s="9" t="s">
        <v>699</v>
      </c>
      <c r="J155" t="s">
        <v>700</v>
      </c>
    </row>
    <row r="156" spans="2:10" x14ac:dyDescent="0.35">
      <c r="B156">
        <v>297</v>
      </c>
      <c r="C156" s="8">
        <v>500</v>
      </c>
      <c r="D156" t="s">
        <v>701</v>
      </c>
      <c r="E156" t="s">
        <v>702</v>
      </c>
      <c r="F156" t="s">
        <v>703</v>
      </c>
      <c r="G156" t="s">
        <v>446</v>
      </c>
      <c r="H156" t="s">
        <v>9</v>
      </c>
      <c r="I156" s="9" t="s">
        <v>447</v>
      </c>
      <c r="J156" t="s">
        <v>704</v>
      </c>
    </row>
    <row r="157" spans="2:10" x14ac:dyDescent="0.35">
      <c r="B157">
        <v>296</v>
      </c>
      <c r="C157" s="8">
        <v>500</v>
      </c>
      <c r="D157" t="s">
        <v>76</v>
      </c>
      <c r="E157" t="s">
        <v>705</v>
      </c>
      <c r="F157" t="s">
        <v>706</v>
      </c>
      <c r="G157" t="s">
        <v>27</v>
      </c>
      <c r="H157" t="s">
        <v>15</v>
      </c>
      <c r="I157" s="9" t="s">
        <v>273</v>
      </c>
      <c r="J157" t="s">
        <v>707</v>
      </c>
    </row>
    <row r="158" spans="2:10" x14ac:dyDescent="0.35">
      <c r="B158">
        <v>295</v>
      </c>
      <c r="C158" s="8">
        <v>250</v>
      </c>
      <c r="D158" t="s">
        <v>708</v>
      </c>
      <c r="E158" t="s">
        <v>709</v>
      </c>
      <c r="F158" t="s">
        <v>710</v>
      </c>
      <c r="G158" t="s">
        <v>27</v>
      </c>
      <c r="H158" t="s">
        <v>15</v>
      </c>
      <c r="I158" s="9" t="s">
        <v>273</v>
      </c>
      <c r="J158" t="s">
        <v>711</v>
      </c>
    </row>
    <row r="159" spans="2:10" x14ac:dyDescent="0.35">
      <c r="B159">
        <v>294</v>
      </c>
      <c r="C159" s="8">
        <v>2500</v>
      </c>
      <c r="D159" t="s">
        <v>712</v>
      </c>
      <c r="E159" t="s">
        <v>118</v>
      </c>
      <c r="F159" t="s">
        <v>713</v>
      </c>
      <c r="G159" t="s">
        <v>33</v>
      </c>
      <c r="H159" t="s">
        <v>21</v>
      </c>
      <c r="I159" s="9" t="s">
        <v>714</v>
      </c>
      <c r="J159" t="s">
        <v>715</v>
      </c>
    </row>
    <row r="160" spans="2:10" x14ac:dyDescent="0.35">
      <c r="B160">
        <v>293</v>
      </c>
      <c r="C160" s="8">
        <v>250</v>
      </c>
      <c r="D160" t="s">
        <v>17</v>
      </c>
      <c r="E160" t="s">
        <v>716</v>
      </c>
      <c r="F160" t="s">
        <v>717</v>
      </c>
      <c r="G160" t="s">
        <v>112</v>
      </c>
      <c r="H160" t="s">
        <v>15</v>
      </c>
      <c r="I160" s="9" t="s">
        <v>113</v>
      </c>
      <c r="J160" t="s">
        <v>718</v>
      </c>
    </row>
    <row r="161" spans="2:10" x14ac:dyDescent="0.35">
      <c r="B161">
        <v>292</v>
      </c>
      <c r="C161" s="8">
        <v>1000</v>
      </c>
      <c r="D161" t="s">
        <v>62</v>
      </c>
      <c r="E161" t="s">
        <v>719</v>
      </c>
      <c r="F161" t="s">
        <v>720</v>
      </c>
      <c r="G161" t="s">
        <v>27</v>
      </c>
      <c r="H161" t="s">
        <v>15</v>
      </c>
      <c r="I161" s="9" t="s">
        <v>54</v>
      </c>
      <c r="J161" t="s">
        <v>721</v>
      </c>
    </row>
    <row r="162" spans="2:10" x14ac:dyDescent="0.35">
      <c r="B162">
        <v>291</v>
      </c>
      <c r="C162" s="8">
        <v>250</v>
      </c>
      <c r="D162" t="s">
        <v>722</v>
      </c>
      <c r="E162" t="s">
        <v>347</v>
      </c>
      <c r="F162" t="s">
        <v>723</v>
      </c>
      <c r="G162" t="s">
        <v>27</v>
      </c>
      <c r="H162" t="s">
        <v>15</v>
      </c>
      <c r="I162" s="9" t="s">
        <v>292</v>
      </c>
      <c r="J162" t="s">
        <v>724</v>
      </c>
    </row>
    <row r="163" spans="2:10" x14ac:dyDescent="0.35">
      <c r="B163">
        <v>290</v>
      </c>
      <c r="C163" s="8">
        <v>500</v>
      </c>
      <c r="D163" t="s">
        <v>725</v>
      </c>
      <c r="E163" t="s">
        <v>726</v>
      </c>
      <c r="F163" t="s">
        <v>727</v>
      </c>
      <c r="G163" t="s">
        <v>27</v>
      </c>
      <c r="H163" t="s">
        <v>15</v>
      </c>
      <c r="I163" s="9" t="s">
        <v>89</v>
      </c>
      <c r="J163" t="s">
        <v>728</v>
      </c>
    </row>
    <row r="164" spans="2:10" x14ac:dyDescent="0.35">
      <c r="B164">
        <v>289</v>
      </c>
      <c r="C164" s="8">
        <v>250</v>
      </c>
      <c r="D164" t="s">
        <v>729</v>
      </c>
      <c r="E164" t="s">
        <v>730</v>
      </c>
      <c r="F164" t="s">
        <v>731</v>
      </c>
      <c r="G164" t="s">
        <v>27</v>
      </c>
      <c r="H164" t="s">
        <v>15</v>
      </c>
      <c r="I164" s="9" t="s">
        <v>292</v>
      </c>
      <c r="J164" t="s">
        <v>732</v>
      </c>
    </row>
    <row r="165" spans="2:10" x14ac:dyDescent="0.35">
      <c r="B165">
        <v>288</v>
      </c>
      <c r="C165" s="8">
        <v>250</v>
      </c>
      <c r="D165" t="s">
        <v>733</v>
      </c>
      <c r="E165" t="s">
        <v>648</v>
      </c>
      <c r="F165" t="s">
        <v>734</v>
      </c>
      <c r="G165" t="s">
        <v>735</v>
      </c>
      <c r="H165" t="s">
        <v>15</v>
      </c>
      <c r="I165" s="9" t="s">
        <v>736</v>
      </c>
      <c r="J165" t="s">
        <v>737</v>
      </c>
    </row>
    <row r="166" spans="2:10" x14ac:dyDescent="0.35">
      <c r="B166">
        <v>287</v>
      </c>
      <c r="C166" s="8">
        <v>500</v>
      </c>
      <c r="D166" t="s">
        <v>738</v>
      </c>
      <c r="E166" t="s">
        <v>739</v>
      </c>
      <c r="F166" t="s">
        <v>740</v>
      </c>
      <c r="G166" t="s">
        <v>27</v>
      </c>
      <c r="H166" t="s">
        <v>15</v>
      </c>
      <c r="I166" s="9" t="s">
        <v>44</v>
      </c>
      <c r="J166" t="s">
        <v>741</v>
      </c>
    </row>
    <row r="167" spans="2:10" x14ac:dyDescent="0.35">
      <c r="B167">
        <v>286</v>
      </c>
      <c r="C167" s="8">
        <v>1000</v>
      </c>
      <c r="D167" t="s">
        <v>742</v>
      </c>
      <c r="E167" t="s">
        <v>743</v>
      </c>
      <c r="F167" t="s">
        <v>744</v>
      </c>
      <c r="G167" t="s">
        <v>79</v>
      </c>
      <c r="H167" t="s">
        <v>9</v>
      </c>
      <c r="I167" s="9" t="s">
        <v>699</v>
      </c>
      <c r="J167" t="s">
        <v>745</v>
      </c>
    </row>
    <row r="168" spans="2:10" x14ac:dyDescent="0.35">
      <c r="B168">
        <v>285</v>
      </c>
      <c r="C168" s="8">
        <v>250</v>
      </c>
      <c r="D168" t="s">
        <v>637</v>
      </c>
      <c r="E168" t="s">
        <v>746</v>
      </c>
      <c r="F168" t="s">
        <v>747</v>
      </c>
      <c r="G168" t="s">
        <v>27</v>
      </c>
      <c r="H168" t="s">
        <v>15</v>
      </c>
      <c r="I168" s="9" t="s">
        <v>28</v>
      </c>
      <c r="J168" t="s">
        <v>748</v>
      </c>
    </row>
    <row r="169" spans="2:10" x14ac:dyDescent="0.35">
      <c r="B169">
        <v>284</v>
      </c>
      <c r="C169" s="8">
        <v>500</v>
      </c>
      <c r="D169" t="s">
        <v>749</v>
      </c>
      <c r="E169" t="s">
        <v>750</v>
      </c>
      <c r="F169" t="s">
        <v>751</v>
      </c>
      <c r="G169" t="s">
        <v>27</v>
      </c>
      <c r="H169" t="s">
        <v>15</v>
      </c>
      <c r="I169" s="9" t="s">
        <v>65</v>
      </c>
      <c r="J169" t="s">
        <v>752</v>
      </c>
    </row>
    <row r="170" spans="2:10" x14ac:dyDescent="0.35">
      <c r="B170">
        <v>283</v>
      </c>
      <c r="C170" s="8">
        <v>250</v>
      </c>
      <c r="D170" t="s">
        <v>753</v>
      </c>
      <c r="E170" t="s">
        <v>754</v>
      </c>
      <c r="F170" t="s">
        <v>755</v>
      </c>
      <c r="G170" t="s">
        <v>756</v>
      </c>
      <c r="H170" t="s">
        <v>458</v>
      </c>
      <c r="I170" s="9" t="s">
        <v>757</v>
      </c>
      <c r="J170" t="s">
        <v>758</v>
      </c>
    </row>
    <row r="171" spans="2:10" x14ac:dyDescent="0.35">
      <c r="B171">
        <v>282</v>
      </c>
      <c r="C171" s="8">
        <v>250</v>
      </c>
      <c r="D171" t="s">
        <v>449</v>
      </c>
      <c r="E171" t="s">
        <v>759</v>
      </c>
      <c r="F171" t="s">
        <v>760</v>
      </c>
      <c r="G171" t="s">
        <v>27</v>
      </c>
      <c r="H171" t="s">
        <v>15</v>
      </c>
      <c r="I171" s="9" t="s">
        <v>44</v>
      </c>
      <c r="J171" t="s">
        <v>761</v>
      </c>
    </row>
    <row r="172" spans="2:10" x14ac:dyDescent="0.35">
      <c r="B172">
        <v>281</v>
      </c>
      <c r="C172" s="8">
        <v>250</v>
      </c>
      <c r="D172" t="s">
        <v>762</v>
      </c>
      <c r="E172" t="s">
        <v>763</v>
      </c>
      <c r="F172" t="s">
        <v>764</v>
      </c>
      <c r="G172" t="s">
        <v>59</v>
      </c>
      <c r="H172" t="s">
        <v>15</v>
      </c>
      <c r="I172" s="9" t="s">
        <v>60</v>
      </c>
      <c r="J172" t="s">
        <v>765</v>
      </c>
    </row>
    <row r="173" spans="2:10" x14ac:dyDescent="0.35">
      <c r="B173">
        <v>280</v>
      </c>
      <c r="C173" s="8">
        <v>500</v>
      </c>
      <c r="D173" t="s">
        <v>766</v>
      </c>
      <c r="E173" t="s">
        <v>767</v>
      </c>
      <c r="F173" t="s">
        <v>768</v>
      </c>
      <c r="G173" t="s">
        <v>27</v>
      </c>
      <c r="H173" t="s">
        <v>15</v>
      </c>
      <c r="I173" s="9" t="s">
        <v>39</v>
      </c>
      <c r="J173" t="s">
        <v>769</v>
      </c>
    </row>
    <row r="174" spans="2:10" x14ac:dyDescent="0.35">
      <c r="B174">
        <v>279</v>
      </c>
      <c r="C174" s="8">
        <v>500</v>
      </c>
      <c r="D174" t="s">
        <v>770</v>
      </c>
      <c r="E174" t="s">
        <v>771</v>
      </c>
      <c r="F174" t="s">
        <v>772</v>
      </c>
      <c r="G174" t="s">
        <v>27</v>
      </c>
      <c r="H174" t="s">
        <v>15</v>
      </c>
      <c r="I174" s="9" t="s">
        <v>292</v>
      </c>
      <c r="J174" t="s">
        <v>773</v>
      </c>
    </row>
    <row r="175" spans="2:10" x14ac:dyDescent="0.35">
      <c r="B175">
        <v>278</v>
      </c>
      <c r="C175" s="8">
        <v>500</v>
      </c>
      <c r="D175" t="s">
        <v>774</v>
      </c>
      <c r="E175" t="s">
        <v>775</v>
      </c>
      <c r="F175" t="s">
        <v>776</v>
      </c>
      <c r="G175" t="s">
        <v>777</v>
      </c>
      <c r="H175" t="s">
        <v>778</v>
      </c>
      <c r="I175" s="9" t="s">
        <v>779</v>
      </c>
      <c r="J175" t="s">
        <v>780</v>
      </c>
    </row>
    <row r="176" spans="2:10" x14ac:dyDescent="0.35">
      <c r="B176">
        <v>277</v>
      </c>
      <c r="C176" s="8">
        <v>250</v>
      </c>
      <c r="D176" t="s">
        <v>781</v>
      </c>
      <c r="E176" t="s">
        <v>782</v>
      </c>
      <c r="F176" t="s">
        <v>783</v>
      </c>
      <c r="G176" t="s">
        <v>27</v>
      </c>
      <c r="H176" t="s">
        <v>15</v>
      </c>
      <c r="I176" s="9" t="s">
        <v>292</v>
      </c>
      <c r="J176" t="s">
        <v>784</v>
      </c>
    </row>
    <row r="177" spans="2:10" x14ac:dyDescent="0.35">
      <c r="B177">
        <v>276</v>
      </c>
      <c r="C177" s="8">
        <v>500</v>
      </c>
      <c r="D177" t="s">
        <v>785</v>
      </c>
      <c r="E177" t="s">
        <v>786</v>
      </c>
      <c r="F177" t="s">
        <v>787</v>
      </c>
      <c r="G177" t="s">
        <v>788</v>
      </c>
      <c r="H177" t="s">
        <v>673</v>
      </c>
      <c r="I177" s="9" t="s">
        <v>789</v>
      </c>
      <c r="J177" t="s">
        <v>790</v>
      </c>
    </row>
    <row r="178" spans="2:10" x14ac:dyDescent="0.35">
      <c r="B178">
        <v>275</v>
      </c>
      <c r="C178" s="8">
        <v>10000</v>
      </c>
      <c r="D178" t="s">
        <v>791</v>
      </c>
      <c r="E178" t="s">
        <v>276</v>
      </c>
      <c r="F178" t="s">
        <v>792</v>
      </c>
      <c r="G178" t="s">
        <v>27</v>
      </c>
      <c r="H178" t="s">
        <v>15</v>
      </c>
      <c r="I178" s="9" t="s">
        <v>49</v>
      </c>
      <c r="J178" t="s">
        <v>793</v>
      </c>
    </row>
    <row r="179" spans="2:10" x14ac:dyDescent="0.35">
      <c r="B179">
        <v>274</v>
      </c>
      <c r="C179" s="8">
        <v>250</v>
      </c>
      <c r="D179" t="s">
        <v>12</v>
      </c>
      <c r="E179" t="s">
        <v>794</v>
      </c>
      <c r="F179" t="s">
        <v>795</v>
      </c>
      <c r="G179" t="s">
        <v>27</v>
      </c>
      <c r="H179" t="s">
        <v>15</v>
      </c>
      <c r="I179" s="9" t="s">
        <v>65</v>
      </c>
      <c r="J179" t="s">
        <v>796</v>
      </c>
    </row>
    <row r="180" spans="2:10" x14ac:dyDescent="0.35">
      <c r="B180">
        <v>273</v>
      </c>
      <c r="C180" s="8">
        <v>1000</v>
      </c>
      <c r="D180" t="s">
        <v>797</v>
      </c>
      <c r="E180" t="s">
        <v>798</v>
      </c>
      <c r="F180" t="s">
        <v>799</v>
      </c>
      <c r="G180" t="s">
        <v>27</v>
      </c>
      <c r="H180" t="s">
        <v>15</v>
      </c>
      <c r="I180" s="9" t="s">
        <v>39</v>
      </c>
      <c r="J180" t="s">
        <v>800</v>
      </c>
    </row>
    <row r="181" spans="2:10" x14ac:dyDescent="0.35">
      <c r="B181">
        <v>272</v>
      </c>
      <c r="C181" s="8">
        <v>1000</v>
      </c>
      <c r="D181" t="s">
        <v>801</v>
      </c>
      <c r="E181" t="s">
        <v>802</v>
      </c>
      <c r="F181" t="s">
        <v>803</v>
      </c>
      <c r="G181" t="s">
        <v>804</v>
      </c>
      <c r="H181" t="s">
        <v>9</v>
      </c>
      <c r="I181" s="9" t="s">
        <v>805</v>
      </c>
      <c r="J181" t="s">
        <v>806</v>
      </c>
    </row>
    <row r="182" spans="2:10" x14ac:dyDescent="0.35">
      <c r="B182">
        <v>271</v>
      </c>
      <c r="C182" s="8">
        <v>250</v>
      </c>
      <c r="D182" t="s">
        <v>801</v>
      </c>
      <c r="E182" t="s">
        <v>807</v>
      </c>
      <c r="F182" t="s">
        <v>808</v>
      </c>
      <c r="G182" t="s">
        <v>27</v>
      </c>
      <c r="H182" t="s">
        <v>15</v>
      </c>
      <c r="I182" s="9" t="s">
        <v>292</v>
      </c>
      <c r="J182" t="s">
        <v>809</v>
      </c>
    </row>
    <row r="183" spans="2:10" x14ac:dyDescent="0.35">
      <c r="B183">
        <v>270</v>
      </c>
      <c r="C183" s="8">
        <v>250</v>
      </c>
      <c r="D183" t="s">
        <v>810</v>
      </c>
      <c r="E183" t="s">
        <v>811</v>
      </c>
      <c r="F183" t="s">
        <v>812</v>
      </c>
      <c r="G183" t="s">
        <v>27</v>
      </c>
      <c r="H183" t="s">
        <v>15</v>
      </c>
      <c r="I183" s="9" t="s">
        <v>127</v>
      </c>
      <c r="J183" t="s">
        <v>813</v>
      </c>
    </row>
    <row r="184" spans="2:10" x14ac:dyDescent="0.35">
      <c r="B184">
        <v>269</v>
      </c>
      <c r="C184" s="8">
        <v>250</v>
      </c>
      <c r="D184" t="s">
        <v>814</v>
      </c>
      <c r="E184" t="s">
        <v>815</v>
      </c>
      <c r="F184" t="s">
        <v>816</v>
      </c>
      <c r="G184" t="s">
        <v>27</v>
      </c>
      <c r="H184" t="s">
        <v>15</v>
      </c>
      <c r="I184" s="9" t="s">
        <v>89</v>
      </c>
      <c r="J184" t="s">
        <v>817</v>
      </c>
    </row>
    <row r="185" spans="2:10" x14ac:dyDescent="0.35">
      <c r="B185">
        <v>268</v>
      </c>
      <c r="C185" s="8">
        <v>250</v>
      </c>
      <c r="D185" t="s">
        <v>818</v>
      </c>
      <c r="E185" t="s">
        <v>119</v>
      </c>
      <c r="F185" t="s">
        <v>819</v>
      </c>
      <c r="G185" t="s">
        <v>820</v>
      </c>
      <c r="H185" t="s">
        <v>673</v>
      </c>
      <c r="I185" s="9" t="s">
        <v>821</v>
      </c>
      <c r="J185" t="s">
        <v>822</v>
      </c>
    </row>
    <row r="186" spans="2:10" x14ac:dyDescent="0.35">
      <c r="B186">
        <v>267</v>
      </c>
      <c r="C186" s="8">
        <v>10000</v>
      </c>
      <c r="D186" t="s">
        <v>461</v>
      </c>
      <c r="E186" t="s">
        <v>823</v>
      </c>
      <c r="F186" t="s">
        <v>824</v>
      </c>
      <c r="G186" t="s">
        <v>825</v>
      </c>
      <c r="H186" t="s">
        <v>21</v>
      </c>
      <c r="I186" s="9" t="s">
        <v>826</v>
      </c>
      <c r="J186" t="s">
        <v>827</v>
      </c>
    </row>
    <row r="187" spans="2:10" x14ac:dyDescent="0.35">
      <c r="B187">
        <v>266</v>
      </c>
      <c r="C187" s="8">
        <v>500</v>
      </c>
      <c r="D187" t="s">
        <v>184</v>
      </c>
      <c r="E187" t="s">
        <v>828</v>
      </c>
      <c r="F187" t="s">
        <v>829</v>
      </c>
      <c r="G187" t="s">
        <v>830</v>
      </c>
      <c r="H187" t="s">
        <v>15</v>
      </c>
      <c r="I187" s="9" t="s">
        <v>831</v>
      </c>
      <c r="J187" t="s">
        <v>832</v>
      </c>
    </row>
    <row r="188" spans="2:10" x14ac:dyDescent="0.35">
      <c r="B188">
        <v>265</v>
      </c>
      <c r="C188" s="8">
        <v>500</v>
      </c>
      <c r="D188" t="s">
        <v>833</v>
      </c>
      <c r="E188" t="s">
        <v>834</v>
      </c>
      <c r="F188" t="s">
        <v>835</v>
      </c>
      <c r="G188" t="s">
        <v>27</v>
      </c>
      <c r="H188" t="s">
        <v>15</v>
      </c>
      <c r="I188" s="9" t="s">
        <v>127</v>
      </c>
      <c r="J188" t="s">
        <v>836</v>
      </c>
    </row>
    <row r="189" spans="2:10" x14ac:dyDescent="0.35">
      <c r="B189">
        <v>264</v>
      </c>
      <c r="C189" s="8">
        <v>1000</v>
      </c>
      <c r="D189" t="s">
        <v>98</v>
      </c>
      <c r="E189" t="s">
        <v>837</v>
      </c>
      <c r="F189" t="s">
        <v>838</v>
      </c>
      <c r="G189" t="s">
        <v>79</v>
      </c>
      <c r="H189" t="s">
        <v>9</v>
      </c>
      <c r="I189" s="9" t="s">
        <v>699</v>
      </c>
      <c r="J189" t="s">
        <v>839</v>
      </c>
    </row>
    <row r="190" spans="2:10" x14ac:dyDescent="0.35">
      <c r="B190">
        <v>263</v>
      </c>
      <c r="C190" s="8">
        <v>250</v>
      </c>
      <c r="D190" t="s">
        <v>617</v>
      </c>
      <c r="E190" t="s">
        <v>840</v>
      </c>
      <c r="F190" t="s">
        <v>841</v>
      </c>
      <c r="G190" t="s">
        <v>27</v>
      </c>
      <c r="H190" t="s">
        <v>15</v>
      </c>
      <c r="I190" s="9" t="s">
        <v>54</v>
      </c>
      <c r="J190" t="s">
        <v>842</v>
      </c>
    </row>
    <row r="191" spans="2:10" x14ac:dyDescent="0.35">
      <c r="B191">
        <v>262</v>
      </c>
      <c r="C191" s="8">
        <v>500</v>
      </c>
      <c r="D191" t="s">
        <v>843</v>
      </c>
      <c r="E191" t="s">
        <v>844</v>
      </c>
      <c r="F191" t="s">
        <v>845</v>
      </c>
      <c r="G191" t="s">
        <v>27</v>
      </c>
      <c r="H191" t="s">
        <v>15</v>
      </c>
      <c r="I191" s="9" t="s">
        <v>44</v>
      </c>
      <c r="J191" t="s">
        <v>846</v>
      </c>
    </row>
    <row r="192" spans="2:10" x14ac:dyDescent="0.35">
      <c r="B192">
        <v>261</v>
      </c>
      <c r="C192" s="8">
        <v>1000</v>
      </c>
      <c r="D192" t="s">
        <v>847</v>
      </c>
      <c r="E192" t="s">
        <v>848</v>
      </c>
      <c r="F192" t="s">
        <v>849</v>
      </c>
      <c r="G192" t="s">
        <v>27</v>
      </c>
      <c r="H192" t="s">
        <v>15</v>
      </c>
      <c r="I192" s="9" t="s">
        <v>405</v>
      </c>
      <c r="J192" t="s">
        <v>850</v>
      </c>
    </row>
    <row r="193" spans="2:10" x14ac:dyDescent="0.35">
      <c r="B193">
        <v>260</v>
      </c>
      <c r="C193" s="8">
        <v>1000</v>
      </c>
      <c r="D193" t="s">
        <v>851</v>
      </c>
      <c r="E193" t="s">
        <v>852</v>
      </c>
      <c r="F193" t="s">
        <v>853</v>
      </c>
      <c r="G193" t="s">
        <v>27</v>
      </c>
      <c r="H193" t="s">
        <v>15</v>
      </c>
      <c r="I193" s="9" t="s">
        <v>54</v>
      </c>
      <c r="J193" t="s">
        <v>854</v>
      </c>
    </row>
    <row r="194" spans="2:10" x14ac:dyDescent="0.35">
      <c r="B194">
        <v>259</v>
      </c>
      <c r="C194" s="8">
        <v>250</v>
      </c>
      <c r="D194" t="s">
        <v>5</v>
      </c>
      <c r="E194" t="s">
        <v>855</v>
      </c>
      <c r="F194" t="s">
        <v>856</v>
      </c>
      <c r="G194" t="s">
        <v>857</v>
      </c>
      <c r="H194" t="s">
        <v>673</v>
      </c>
      <c r="I194" s="9" t="s">
        <v>858</v>
      </c>
      <c r="J194" t="s">
        <v>859</v>
      </c>
    </row>
    <row r="195" spans="2:10" x14ac:dyDescent="0.35">
      <c r="B195">
        <v>258</v>
      </c>
      <c r="C195" s="8">
        <v>500</v>
      </c>
      <c r="D195" t="s">
        <v>860</v>
      </c>
      <c r="E195" t="s">
        <v>861</v>
      </c>
      <c r="F195" t="s">
        <v>862</v>
      </c>
      <c r="G195" t="s">
        <v>27</v>
      </c>
      <c r="H195" t="s">
        <v>15</v>
      </c>
      <c r="I195" s="9" t="s">
        <v>292</v>
      </c>
      <c r="J195" t="s">
        <v>863</v>
      </c>
    </row>
    <row r="196" spans="2:10" x14ac:dyDescent="0.35">
      <c r="B196">
        <v>257</v>
      </c>
      <c r="C196" s="8">
        <v>500</v>
      </c>
      <c r="D196" t="s">
        <v>864</v>
      </c>
      <c r="E196" t="s">
        <v>865</v>
      </c>
      <c r="F196" t="s">
        <v>866</v>
      </c>
      <c r="G196" t="s">
        <v>867</v>
      </c>
      <c r="H196" t="s">
        <v>429</v>
      </c>
      <c r="I196" s="9" t="s">
        <v>868</v>
      </c>
      <c r="J196" t="s">
        <v>869</v>
      </c>
    </row>
    <row r="197" spans="2:10" x14ac:dyDescent="0.35">
      <c r="B197">
        <v>256</v>
      </c>
      <c r="C197" s="8">
        <v>250</v>
      </c>
      <c r="D197" t="s">
        <v>870</v>
      </c>
      <c r="E197" t="s">
        <v>871</v>
      </c>
      <c r="F197" t="s">
        <v>872</v>
      </c>
      <c r="G197" t="s">
        <v>27</v>
      </c>
      <c r="H197" t="s">
        <v>15</v>
      </c>
      <c r="I197" s="9" t="s">
        <v>292</v>
      </c>
      <c r="J197" t="s">
        <v>873</v>
      </c>
    </row>
    <row r="198" spans="2:10" x14ac:dyDescent="0.35">
      <c r="B198">
        <v>255</v>
      </c>
      <c r="C198" s="8">
        <v>250</v>
      </c>
      <c r="D198" t="s">
        <v>874</v>
      </c>
      <c r="E198" t="s">
        <v>875</v>
      </c>
      <c r="F198" t="s">
        <v>876</v>
      </c>
      <c r="G198" t="s">
        <v>139</v>
      </c>
      <c r="H198" t="s">
        <v>15</v>
      </c>
      <c r="I198" s="9" t="s">
        <v>140</v>
      </c>
      <c r="J198" t="s">
        <v>877</v>
      </c>
    </row>
    <row r="199" spans="2:10" x14ac:dyDescent="0.35">
      <c r="B199">
        <v>254</v>
      </c>
      <c r="C199" s="8">
        <v>250</v>
      </c>
      <c r="D199" t="s">
        <v>878</v>
      </c>
      <c r="E199" t="s">
        <v>879</v>
      </c>
      <c r="F199" t="s">
        <v>880</v>
      </c>
      <c r="G199" t="s">
        <v>286</v>
      </c>
      <c r="H199" t="s">
        <v>15</v>
      </c>
      <c r="I199" s="9" t="s">
        <v>287</v>
      </c>
      <c r="J199" t="s">
        <v>881</v>
      </c>
    </row>
    <row r="200" spans="2:10" x14ac:dyDescent="0.35">
      <c r="B200">
        <v>253</v>
      </c>
      <c r="C200" s="8">
        <v>250</v>
      </c>
      <c r="D200" t="s">
        <v>882</v>
      </c>
      <c r="E200" t="s">
        <v>883</v>
      </c>
      <c r="F200" t="s">
        <v>884</v>
      </c>
      <c r="G200" t="s">
        <v>27</v>
      </c>
      <c r="H200" t="s">
        <v>15</v>
      </c>
      <c r="I200" s="9" t="s">
        <v>405</v>
      </c>
      <c r="J200" t="s">
        <v>885</v>
      </c>
    </row>
    <row r="201" spans="2:10" x14ac:dyDescent="0.35">
      <c r="B201">
        <v>252</v>
      </c>
      <c r="C201" s="8">
        <v>250</v>
      </c>
      <c r="D201" t="s">
        <v>886</v>
      </c>
      <c r="E201" t="s">
        <v>887</v>
      </c>
      <c r="F201" t="s">
        <v>888</v>
      </c>
      <c r="G201" t="s">
        <v>889</v>
      </c>
      <c r="H201" t="s">
        <v>9</v>
      </c>
      <c r="I201" s="9" t="s">
        <v>890</v>
      </c>
      <c r="J201" t="s">
        <v>891</v>
      </c>
    </row>
    <row r="202" spans="2:10" x14ac:dyDescent="0.35">
      <c r="B202">
        <v>251</v>
      </c>
      <c r="C202" s="8">
        <v>500</v>
      </c>
      <c r="D202" t="s">
        <v>892</v>
      </c>
      <c r="E202" t="s">
        <v>893</v>
      </c>
      <c r="F202" t="s">
        <v>894</v>
      </c>
      <c r="G202" t="s">
        <v>895</v>
      </c>
      <c r="H202" t="s">
        <v>9</v>
      </c>
      <c r="I202" s="9" t="s">
        <v>896</v>
      </c>
      <c r="J202" t="s">
        <v>897</v>
      </c>
    </row>
    <row r="203" spans="2:10" x14ac:dyDescent="0.35">
      <c r="B203">
        <v>250</v>
      </c>
      <c r="C203" s="8">
        <v>250</v>
      </c>
      <c r="D203" t="s">
        <v>402</v>
      </c>
      <c r="E203" t="s">
        <v>898</v>
      </c>
      <c r="F203" t="s">
        <v>899</v>
      </c>
      <c r="G203" t="s">
        <v>27</v>
      </c>
      <c r="H203" t="s">
        <v>15</v>
      </c>
      <c r="I203" s="9" t="s">
        <v>28</v>
      </c>
      <c r="J203" t="s">
        <v>900</v>
      </c>
    </row>
    <row r="204" spans="2:10" x14ac:dyDescent="0.35">
      <c r="B204">
        <v>249</v>
      </c>
      <c r="C204" s="8">
        <v>500</v>
      </c>
      <c r="D204" t="s">
        <v>901</v>
      </c>
      <c r="E204" t="s">
        <v>902</v>
      </c>
      <c r="F204" t="s">
        <v>903</v>
      </c>
      <c r="G204" t="s">
        <v>27</v>
      </c>
      <c r="H204" t="s">
        <v>15</v>
      </c>
      <c r="I204" s="9" t="s">
        <v>65</v>
      </c>
      <c r="J204" t="s">
        <v>904</v>
      </c>
    </row>
    <row r="205" spans="2:10" x14ac:dyDescent="0.35">
      <c r="B205">
        <v>248</v>
      </c>
      <c r="C205" s="8">
        <v>1000</v>
      </c>
      <c r="D205" t="s">
        <v>847</v>
      </c>
      <c r="E205" t="s">
        <v>905</v>
      </c>
      <c r="F205" t="s">
        <v>906</v>
      </c>
      <c r="G205" t="s">
        <v>27</v>
      </c>
      <c r="H205" t="s">
        <v>15</v>
      </c>
      <c r="I205" s="9" t="s">
        <v>89</v>
      </c>
      <c r="J205" t="s">
        <v>907</v>
      </c>
    </row>
    <row r="206" spans="2:10" x14ac:dyDescent="0.35">
      <c r="B206">
        <v>247</v>
      </c>
      <c r="C206" s="8">
        <v>250</v>
      </c>
      <c r="D206" t="s">
        <v>908</v>
      </c>
      <c r="E206" t="s">
        <v>909</v>
      </c>
      <c r="F206" t="s">
        <v>910</v>
      </c>
      <c r="G206" t="s">
        <v>27</v>
      </c>
      <c r="H206" t="s">
        <v>15</v>
      </c>
      <c r="I206" s="9" t="s">
        <v>28</v>
      </c>
      <c r="J206" t="s">
        <v>911</v>
      </c>
    </row>
    <row r="207" spans="2:10" x14ac:dyDescent="0.35">
      <c r="B207">
        <v>246</v>
      </c>
      <c r="C207" s="8">
        <v>250</v>
      </c>
      <c r="D207" t="s">
        <v>912</v>
      </c>
      <c r="E207" t="s">
        <v>913</v>
      </c>
      <c r="F207" t="s">
        <v>914</v>
      </c>
      <c r="G207" t="s">
        <v>915</v>
      </c>
      <c r="H207" t="s">
        <v>364</v>
      </c>
      <c r="I207" s="9" t="s">
        <v>916</v>
      </c>
      <c r="J207" t="s">
        <v>917</v>
      </c>
    </row>
    <row r="208" spans="2:10" x14ac:dyDescent="0.35">
      <c r="B208">
        <v>245</v>
      </c>
      <c r="C208" s="8">
        <v>250</v>
      </c>
      <c r="D208" t="s">
        <v>402</v>
      </c>
      <c r="E208" t="s">
        <v>918</v>
      </c>
      <c r="F208" t="s">
        <v>919</v>
      </c>
      <c r="G208" t="s">
        <v>920</v>
      </c>
      <c r="H208" t="s">
        <v>921</v>
      </c>
      <c r="I208" s="9" t="s">
        <v>922</v>
      </c>
      <c r="J208" t="s">
        <v>923</v>
      </c>
    </row>
    <row r="209" spans="2:10" x14ac:dyDescent="0.35">
      <c r="B209">
        <v>244</v>
      </c>
      <c r="C209" s="8">
        <v>500</v>
      </c>
      <c r="D209" t="s">
        <v>924</v>
      </c>
      <c r="E209" t="s">
        <v>925</v>
      </c>
      <c r="F209" t="s">
        <v>926</v>
      </c>
      <c r="G209" t="s">
        <v>27</v>
      </c>
      <c r="H209" t="s">
        <v>15</v>
      </c>
      <c r="I209" s="9" t="s">
        <v>28</v>
      </c>
      <c r="J209" t="s">
        <v>927</v>
      </c>
    </row>
    <row r="210" spans="2:10" x14ac:dyDescent="0.35">
      <c r="B210">
        <v>243</v>
      </c>
      <c r="C210" s="8">
        <v>500</v>
      </c>
      <c r="D210" t="s">
        <v>928</v>
      </c>
      <c r="E210" t="s">
        <v>898</v>
      </c>
      <c r="F210" t="s">
        <v>929</v>
      </c>
      <c r="G210" t="s">
        <v>930</v>
      </c>
      <c r="H210" t="s">
        <v>9</v>
      </c>
      <c r="I210" s="9" t="s">
        <v>931</v>
      </c>
      <c r="J210" t="s">
        <v>932</v>
      </c>
    </row>
    <row r="211" spans="2:10" x14ac:dyDescent="0.35">
      <c r="B211">
        <v>242</v>
      </c>
      <c r="C211" s="8">
        <v>500</v>
      </c>
      <c r="D211" t="s">
        <v>933</v>
      </c>
      <c r="E211" t="s">
        <v>898</v>
      </c>
      <c r="F211" t="s">
        <v>934</v>
      </c>
      <c r="G211" t="s">
        <v>139</v>
      </c>
      <c r="H211" t="s">
        <v>15</v>
      </c>
      <c r="I211" s="9" t="s">
        <v>140</v>
      </c>
      <c r="J211" t="s">
        <v>935</v>
      </c>
    </row>
    <row r="212" spans="2:10" x14ac:dyDescent="0.35">
      <c r="B212">
        <v>241</v>
      </c>
      <c r="C212" s="8">
        <v>1000</v>
      </c>
      <c r="D212" t="s">
        <v>936</v>
      </c>
      <c r="E212" t="s">
        <v>72</v>
      </c>
      <c r="F212" t="s">
        <v>937</v>
      </c>
      <c r="G212" t="s">
        <v>27</v>
      </c>
      <c r="H212" t="s">
        <v>15</v>
      </c>
      <c r="I212" s="9" t="s">
        <v>292</v>
      </c>
      <c r="J212" t="s">
        <v>938</v>
      </c>
    </row>
    <row r="213" spans="2:10" x14ac:dyDescent="0.35">
      <c r="B213">
        <v>240</v>
      </c>
      <c r="C213" s="8">
        <v>1000</v>
      </c>
      <c r="D213" t="s">
        <v>939</v>
      </c>
      <c r="E213" t="s">
        <v>940</v>
      </c>
      <c r="F213" t="s">
        <v>941</v>
      </c>
      <c r="G213" t="s">
        <v>487</v>
      </c>
      <c r="H213" t="s">
        <v>9</v>
      </c>
      <c r="I213" s="9" t="s">
        <v>488</v>
      </c>
      <c r="J213" t="s">
        <v>942</v>
      </c>
    </row>
    <row r="214" spans="2:10" x14ac:dyDescent="0.35">
      <c r="B214">
        <v>239</v>
      </c>
      <c r="C214" s="8">
        <v>2500</v>
      </c>
      <c r="D214" t="s">
        <v>682</v>
      </c>
      <c r="E214" t="s">
        <v>943</v>
      </c>
      <c r="F214" t="s">
        <v>944</v>
      </c>
      <c r="G214" t="s">
        <v>186</v>
      </c>
      <c r="H214" t="s">
        <v>15</v>
      </c>
      <c r="I214" s="9" t="s">
        <v>187</v>
      </c>
      <c r="J214" t="s">
        <v>945</v>
      </c>
    </row>
    <row r="215" spans="2:10" x14ac:dyDescent="0.35">
      <c r="B215">
        <v>238</v>
      </c>
      <c r="C215" s="8">
        <v>500</v>
      </c>
      <c r="D215" t="s">
        <v>402</v>
      </c>
      <c r="E215" t="s">
        <v>946</v>
      </c>
      <c r="F215" t="s">
        <v>947</v>
      </c>
      <c r="G215" t="s">
        <v>27</v>
      </c>
      <c r="H215" t="s">
        <v>15</v>
      </c>
      <c r="I215" s="9" t="s">
        <v>49</v>
      </c>
      <c r="J215" t="s">
        <v>948</v>
      </c>
    </row>
    <row r="216" spans="2:10" x14ac:dyDescent="0.35">
      <c r="B216">
        <v>237</v>
      </c>
      <c r="C216" s="8">
        <v>500</v>
      </c>
      <c r="D216" t="s">
        <v>949</v>
      </c>
      <c r="E216" t="s">
        <v>950</v>
      </c>
      <c r="F216" t="s">
        <v>951</v>
      </c>
      <c r="G216" t="s">
        <v>27</v>
      </c>
      <c r="H216" t="s">
        <v>15</v>
      </c>
      <c r="I216" s="9" t="s">
        <v>89</v>
      </c>
      <c r="J216" t="s">
        <v>952</v>
      </c>
    </row>
    <row r="217" spans="2:10" x14ac:dyDescent="0.35">
      <c r="B217">
        <v>236</v>
      </c>
      <c r="C217" s="8">
        <v>1000</v>
      </c>
      <c r="D217" t="s">
        <v>36</v>
      </c>
      <c r="E217" t="s">
        <v>953</v>
      </c>
      <c r="F217" t="s">
        <v>954</v>
      </c>
      <c r="G217" t="s">
        <v>335</v>
      </c>
      <c r="H217" t="s">
        <v>9</v>
      </c>
      <c r="I217" s="9" t="s">
        <v>955</v>
      </c>
      <c r="J217" t="s">
        <v>956</v>
      </c>
    </row>
    <row r="218" spans="2:10" x14ac:dyDescent="0.35">
      <c r="B218">
        <v>235</v>
      </c>
      <c r="C218" s="8">
        <v>5000</v>
      </c>
      <c r="D218" t="s">
        <v>91</v>
      </c>
      <c r="E218" t="s">
        <v>957</v>
      </c>
      <c r="F218" t="s">
        <v>958</v>
      </c>
      <c r="G218" t="s">
        <v>27</v>
      </c>
      <c r="H218" t="s">
        <v>15</v>
      </c>
      <c r="I218" s="9" t="s">
        <v>405</v>
      </c>
      <c r="J218" t="s">
        <v>959</v>
      </c>
    </row>
    <row r="219" spans="2:10" x14ac:dyDescent="0.35">
      <c r="B219">
        <v>234</v>
      </c>
      <c r="C219" s="8">
        <v>500</v>
      </c>
      <c r="D219" t="s">
        <v>5</v>
      </c>
      <c r="E219" t="s">
        <v>960</v>
      </c>
      <c r="F219" t="s">
        <v>961</v>
      </c>
      <c r="G219" t="s">
        <v>27</v>
      </c>
      <c r="H219" t="s">
        <v>15</v>
      </c>
      <c r="I219" s="9" t="s">
        <v>127</v>
      </c>
      <c r="J219" t="s">
        <v>962</v>
      </c>
    </row>
    <row r="220" spans="2:10" x14ac:dyDescent="0.35">
      <c r="B220">
        <v>233</v>
      </c>
      <c r="C220" s="8">
        <v>1000</v>
      </c>
      <c r="D220" t="s">
        <v>963</v>
      </c>
      <c r="E220" t="s">
        <v>432</v>
      </c>
      <c r="F220" t="s">
        <v>964</v>
      </c>
      <c r="G220" t="s">
        <v>27</v>
      </c>
      <c r="H220" t="s">
        <v>15</v>
      </c>
      <c r="I220" s="9" t="s">
        <v>39</v>
      </c>
      <c r="J220" t="s">
        <v>965</v>
      </c>
    </row>
    <row r="221" spans="2:10" x14ac:dyDescent="0.35">
      <c r="B221">
        <v>232</v>
      </c>
      <c r="C221" s="8">
        <v>10000</v>
      </c>
      <c r="D221" t="s">
        <v>966</v>
      </c>
      <c r="E221" t="s">
        <v>967</v>
      </c>
      <c r="F221" t="s">
        <v>968</v>
      </c>
      <c r="G221" t="s">
        <v>27</v>
      </c>
      <c r="H221" t="s">
        <v>15</v>
      </c>
      <c r="I221" s="9" t="s">
        <v>157</v>
      </c>
      <c r="J221" t="s">
        <v>969</v>
      </c>
    </row>
    <row r="222" spans="2:10" x14ac:dyDescent="0.35">
      <c r="B222">
        <v>231</v>
      </c>
      <c r="C222" s="8">
        <v>250</v>
      </c>
      <c r="D222" t="s">
        <v>847</v>
      </c>
      <c r="E222" t="s">
        <v>970</v>
      </c>
      <c r="F222" t="s">
        <v>971</v>
      </c>
      <c r="G222" t="s">
        <v>186</v>
      </c>
      <c r="H222" t="s">
        <v>15</v>
      </c>
      <c r="I222" s="9" t="s">
        <v>187</v>
      </c>
      <c r="J222" t="s">
        <v>972</v>
      </c>
    </row>
    <row r="223" spans="2:10" x14ac:dyDescent="0.35">
      <c r="B223">
        <v>230</v>
      </c>
      <c r="C223" s="8">
        <v>1000</v>
      </c>
      <c r="D223" t="s">
        <v>973</v>
      </c>
      <c r="E223" t="s">
        <v>974</v>
      </c>
      <c r="F223" t="s">
        <v>975</v>
      </c>
      <c r="G223" t="s">
        <v>976</v>
      </c>
      <c r="H223" t="s">
        <v>133</v>
      </c>
      <c r="I223" s="9" t="s">
        <v>977</v>
      </c>
      <c r="J223" t="s">
        <v>978</v>
      </c>
    </row>
    <row r="224" spans="2:10" x14ac:dyDescent="0.35">
      <c r="B224">
        <v>229</v>
      </c>
      <c r="C224" s="8">
        <v>1000</v>
      </c>
      <c r="D224" t="s">
        <v>979</v>
      </c>
      <c r="E224" t="s">
        <v>980</v>
      </c>
      <c r="F224" t="s">
        <v>981</v>
      </c>
      <c r="G224" t="s">
        <v>27</v>
      </c>
      <c r="H224" t="s">
        <v>15</v>
      </c>
      <c r="I224" s="9" t="s">
        <v>49</v>
      </c>
      <c r="J224" t="s">
        <v>982</v>
      </c>
    </row>
    <row r="225" spans="2:10" x14ac:dyDescent="0.35">
      <c r="B225">
        <v>228</v>
      </c>
      <c r="C225" s="8">
        <v>2500</v>
      </c>
      <c r="D225" t="s">
        <v>983</v>
      </c>
      <c r="E225" t="s">
        <v>898</v>
      </c>
      <c r="F225" t="s">
        <v>984</v>
      </c>
      <c r="G225" t="s">
        <v>27</v>
      </c>
      <c r="H225" t="s">
        <v>15</v>
      </c>
      <c r="I225" s="9" t="s">
        <v>405</v>
      </c>
      <c r="J225" t="s">
        <v>985</v>
      </c>
    </row>
    <row r="226" spans="2:10" x14ac:dyDescent="0.35">
      <c r="B226">
        <v>227</v>
      </c>
      <c r="C226" s="8">
        <v>500</v>
      </c>
      <c r="D226" t="s">
        <v>986</v>
      </c>
      <c r="E226" t="s">
        <v>987</v>
      </c>
      <c r="F226" t="s">
        <v>988</v>
      </c>
      <c r="G226" t="s">
        <v>186</v>
      </c>
      <c r="H226" t="s">
        <v>15</v>
      </c>
      <c r="I226" s="9" t="s">
        <v>187</v>
      </c>
      <c r="J226" t="s">
        <v>989</v>
      </c>
    </row>
    <row r="227" spans="2:10" x14ac:dyDescent="0.35">
      <c r="B227">
        <v>226</v>
      </c>
      <c r="C227" s="8">
        <v>500</v>
      </c>
      <c r="D227" t="s">
        <v>990</v>
      </c>
      <c r="E227" t="s">
        <v>991</v>
      </c>
      <c r="F227" t="s">
        <v>992</v>
      </c>
      <c r="G227" t="s">
        <v>993</v>
      </c>
      <c r="H227" t="s">
        <v>994</v>
      </c>
      <c r="I227" s="9" t="s">
        <v>995</v>
      </c>
      <c r="J227" t="s">
        <v>996</v>
      </c>
    </row>
    <row r="228" spans="2:10" x14ac:dyDescent="0.35">
      <c r="B228">
        <v>225</v>
      </c>
      <c r="C228" s="8">
        <v>250</v>
      </c>
      <c r="D228" t="s">
        <v>997</v>
      </c>
      <c r="E228" t="s">
        <v>998</v>
      </c>
      <c r="F228" t="s">
        <v>999</v>
      </c>
      <c r="G228" t="s">
        <v>27</v>
      </c>
      <c r="H228" t="s">
        <v>15</v>
      </c>
      <c r="I228" s="9" t="s">
        <v>273</v>
      </c>
      <c r="J228" t="s">
        <v>1000</v>
      </c>
    </row>
    <row r="229" spans="2:10" x14ac:dyDescent="0.35">
      <c r="B229">
        <v>224</v>
      </c>
      <c r="C229" s="8">
        <v>500</v>
      </c>
      <c r="D229" t="s">
        <v>1001</v>
      </c>
      <c r="E229" t="s">
        <v>1002</v>
      </c>
      <c r="F229" t="s">
        <v>1003</v>
      </c>
      <c r="G229" t="s">
        <v>27</v>
      </c>
      <c r="H229" t="s">
        <v>15</v>
      </c>
      <c r="I229" s="9" t="s">
        <v>89</v>
      </c>
      <c r="J229" t="s">
        <v>1004</v>
      </c>
    </row>
    <row r="230" spans="2:10" x14ac:dyDescent="0.35">
      <c r="B230">
        <v>223</v>
      </c>
      <c r="C230" s="8">
        <v>2500</v>
      </c>
      <c r="D230" t="s">
        <v>1005</v>
      </c>
      <c r="E230" t="s">
        <v>1006</v>
      </c>
      <c r="F230" t="s">
        <v>1007</v>
      </c>
      <c r="G230" t="s">
        <v>27</v>
      </c>
      <c r="H230" t="s">
        <v>15</v>
      </c>
      <c r="I230" s="9" t="s">
        <v>127</v>
      </c>
      <c r="J230" t="s">
        <v>1008</v>
      </c>
    </row>
    <row r="231" spans="2:10" x14ac:dyDescent="0.35">
      <c r="B231">
        <v>222</v>
      </c>
      <c r="C231" s="8">
        <v>5000</v>
      </c>
      <c r="D231" t="s">
        <v>851</v>
      </c>
      <c r="E231" t="s">
        <v>1009</v>
      </c>
      <c r="F231" t="s">
        <v>1010</v>
      </c>
      <c r="G231" t="s">
        <v>186</v>
      </c>
      <c r="H231" t="s">
        <v>15</v>
      </c>
      <c r="I231" s="9" t="s">
        <v>187</v>
      </c>
      <c r="J231" t="s">
        <v>1011</v>
      </c>
    </row>
    <row r="232" spans="2:10" x14ac:dyDescent="0.35">
      <c r="B232">
        <v>221</v>
      </c>
      <c r="C232" s="8">
        <v>5000</v>
      </c>
      <c r="D232" t="s">
        <v>986</v>
      </c>
      <c r="E232" t="s">
        <v>1012</v>
      </c>
      <c r="F232" t="s">
        <v>1013</v>
      </c>
      <c r="G232" t="s">
        <v>27</v>
      </c>
      <c r="H232" t="s">
        <v>15</v>
      </c>
      <c r="I232" s="9" t="s">
        <v>127</v>
      </c>
      <c r="J232" t="s">
        <v>1014</v>
      </c>
    </row>
    <row r="233" spans="2:10" x14ac:dyDescent="0.35">
      <c r="B233">
        <v>220</v>
      </c>
      <c r="C233" s="8">
        <v>250</v>
      </c>
      <c r="D233" t="s">
        <v>1015</v>
      </c>
      <c r="E233" t="s">
        <v>1016</v>
      </c>
      <c r="F233" t="s">
        <v>1017</v>
      </c>
      <c r="G233" t="s">
        <v>186</v>
      </c>
      <c r="H233" t="s">
        <v>15</v>
      </c>
      <c r="I233" s="9" t="s">
        <v>187</v>
      </c>
      <c r="J233" t="s">
        <v>1018</v>
      </c>
    </row>
    <row r="234" spans="2:10" x14ac:dyDescent="0.35">
      <c r="B234">
        <v>219</v>
      </c>
      <c r="C234" s="8">
        <v>250</v>
      </c>
      <c r="D234" t="s">
        <v>1019</v>
      </c>
      <c r="E234" t="s">
        <v>347</v>
      </c>
      <c r="F234" t="s">
        <v>1020</v>
      </c>
      <c r="G234" t="s">
        <v>27</v>
      </c>
      <c r="H234" t="s">
        <v>15</v>
      </c>
      <c r="I234" s="9" t="s">
        <v>44</v>
      </c>
      <c r="J234" t="s">
        <v>1021</v>
      </c>
    </row>
    <row r="235" spans="2:10" x14ac:dyDescent="0.35">
      <c r="B235">
        <v>218</v>
      </c>
      <c r="C235" s="8">
        <v>250</v>
      </c>
      <c r="D235" t="s">
        <v>1022</v>
      </c>
      <c r="E235" t="s">
        <v>1023</v>
      </c>
      <c r="F235" t="s">
        <v>1024</v>
      </c>
      <c r="G235" t="s">
        <v>139</v>
      </c>
      <c r="H235" t="s">
        <v>15</v>
      </c>
      <c r="I235" s="9" t="s">
        <v>140</v>
      </c>
      <c r="J235" t="s">
        <v>1025</v>
      </c>
    </row>
    <row r="236" spans="2:10" x14ac:dyDescent="0.35">
      <c r="B236">
        <v>217</v>
      </c>
      <c r="C236" s="8">
        <v>500</v>
      </c>
      <c r="D236" t="s">
        <v>1026</v>
      </c>
      <c r="E236" t="s">
        <v>1027</v>
      </c>
      <c r="F236" t="s">
        <v>1028</v>
      </c>
      <c r="G236" t="s">
        <v>27</v>
      </c>
      <c r="H236" t="s">
        <v>15</v>
      </c>
      <c r="I236" s="9" t="s">
        <v>65</v>
      </c>
      <c r="J236" t="s">
        <v>1029</v>
      </c>
    </row>
    <row r="237" spans="2:10" x14ac:dyDescent="0.35">
      <c r="B237">
        <v>216</v>
      </c>
      <c r="C237" s="8">
        <v>250</v>
      </c>
      <c r="D237" t="s">
        <v>1030</v>
      </c>
      <c r="E237" t="s">
        <v>1031</v>
      </c>
      <c r="F237" t="s">
        <v>1032</v>
      </c>
      <c r="G237" t="s">
        <v>186</v>
      </c>
      <c r="H237" t="s">
        <v>15</v>
      </c>
      <c r="I237" s="9" t="s">
        <v>187</v>
      </c>
      <c r="J237" t="s">
        <v>1033</v>
      </c>
    </row>
    <row r="238" spans="2:10" x14ac:dyDescent="0.35">
      <c r="B238">
        <v>215</v>
      </c>
      <c r="C238" s="8">
        <v>500</v>
      </c>
      <c r="D238" t="s">
        <v>176</v>
      </c>
      <c r="E238" t="s">
        <v>1034</v>
      </c>
      <c r="F238" t="s">
        <v>1035</v>
      </c>
      <c r="G238" t="s">
        <v>27</v>
      </c>
      <c r="H238" t="s">
        <v>15</v>
      </c>
      <c r="I238" s="9" t="s">
        <v>89</v>
      </c>
      <c r="J238" t="s">
        <v>1036</v>
      </c>
    </row>
    <row r="239" spans="2:10" x14ac:dyDescent="0.35">
      <c r="B239">
        <v>214</v>
      </c>
      <c r="C239" s="8">
        <v>250</v>
      </c>
      <c r="D239" t="s">
        <v>1037</v>
      </c>
      <c r="E239" t="s">
        <v>375</v>
      </c>
      <c r="F239" t="s">
        <v>1038</v>
      </c>
      <c r="G239" t="s">
        <v>1039</v>
      </c>
      <c r="H239" t="s">
        <v>15</v>
      </c>
      <c r="I239" s="9" t="s">
        <v>1040</v>
      </c>
      <c r="J239" t="s">
        <v>1041</v>
      </c>
    </row>
    <row r="240" spans="2:10" x14ac:dyDescent="0.35">
      <c r="B240">
        <v>213</v>
      </c>
      <c r="C240" s="8">
        <v>250</v>
      </c>
      <c r="D240" t="s">
        <v>1042</v>
      </c>
      <c r="E240" t="s">
        <v>1043</v>
      </c>
      <c r="F240" t="s">
        <v>1044</v>
      </c>
      <c r="G240" t="s">
        <v>1045</v>
      </c>
      <c r="H240" t="s">
        <v>15</v>
      </c>
      <c r="I240" s="9" t="s">
        <v>1046</v>
      </c>
      <c r="J240" t="s">
        <v>1047</v>
      </c>
    </row>
    <row r="241" spans="2:10" x14ac:dyDescent="0.35">
      <c r="B241">
        <v>212</v>
      </c>
      <c r="C241" s="8">
        <v>250</v>
      </c>
      <c r="D241" t="s">
        <v>1048</v>
      </c>
      <c r="E241" t="s">
        <v>1049</v>
      </c>
      <c r="F241" t="s">
        <v>1050</v>
      </c>
      <c r="G241" t="s">
        <v>139</v>
      </c>
      <c r="H241" t="s">
        <v>15</v>
      </c>
      <c r="I241" s="9" t="s">
        <v>140</v>
      </c>
      <c r="J241" t="s">
        <v>1051</v>
      </c>
    </row>
    <row r="242" spans="2:10" x14ac:dyDescent="0.35">
      <c r="B242">
        <v>211</v>
      </c>
      <c r="C242" s="8">
        <v>250</v>
      </c>
      <c r="D242" t="s">
        <v>1052</v>
      </c>
      <c r="E242" t="s">
        <v>580</v>
      </c>
      <c r="F242" t="s">
        <v>1053</v>
      </c>
      <c r="G242" t="s">
        <v>27</v>
      </c>
      <c r="H242" t="s">
        <v>15</v>
      </c>
      <c r="I242" s="9" t="s">
        <v>157</v>
      </c>
      <c r="J242" t="s">
        <v>1054</v>
      </c>
    </row>
    <row r="243" spans="2:10" x14ac:dyDescent="0.35">
      <c r="B243">
        <v>210</v>
      </c>
      <c r="C243" s="8">
        <v>500</v>
      </c>
      <c r="D243" t="s">
        <v>610</v>
      </c>
      <c r="E243" t="s">
        <v>1055</v>
      </c>
      <c r="F243" t="s">
        <v>1056</v>
      </c>
      <c r="G243" t="s">
        <v>27</v>
      </c>
      <c r="H243" t="s">
        <v>15</v>
      </c>
      <c r="I243" s="9" t="s">
        <v>28</v>
      </c>
      <c r="J243" t="s">
        <v>1057</v>
      </c>
    </row>
    <row r="244" spans="2:10" x14ac:dyDescent="0.35">
      <c r="B244">
        <v>209</v>
      </c>
      <c r="C244" s="8">
        <v>500</v>
      </c>
      <c r="D244" t="s">
        <v>676</v>
      </c>
      <c r="E244" t="s">
        <v>1058</v>
      </c>
      <c r="F244" t="s">
        <v>1059</v>
      </c>
      <c r="G244" t="s">
        <v>1060</v>
      </c>
      <c r="H244" t="s">
        <v>9</v>
      </c>
      <c r="I244" s="9" t="s">
        <v>1061</v>
      </c>
      <c r="J244" t="s">
        <v>1062</v>
      </c>
    </row>
    <row r="245" spans="2:10" x14ac:dyDescent="0.35">
      <c r="B245">
        <v>208</v>
      </c>
      <c r="C245" s="8">
        <v>500</v>
      </c>
      <c r="D245" t="s">
        <v>676</v>
      </c>
      <c r="E245" t="s">
        <v>1063</v>
      </c>
      <c r="F245" t="s">
        <v>1064</v>
      </c>
      <c r="G245" t="s">
        <v>27</v>
      </c>
      <c r="H245" t="s">
        <v>15</v>
      </c>
      <c r="I245" s="9" t="s">
        <v>54</v>
      </c>
      <c r="J245" t="s">
        <v>1065</v>
      </c>
    </row>
    <row r="246" spans="2:10" x14ac:dyDescent="0.35">
      <c r="B246">
        <v>207</v>
      </c>
      <c r="C246" s="8">
        <v>2500</v>
      </c>
      <c r="D246" t="s">
        <v>1066</v>
      </c>
      <c r="E246" t="s">
        <v>203</v>
      </c>
      <c r="F246" t="s">
        <v>1067</v>
      </c>
      <c r="G246" t="s">
        <v>452</v>
      </c>
      <c r="H246" t="s">
        <v>15</v>
      </c>
      <c r="I246" s="9" t="s">
        <v>453</v>
      </c>
      <c r="J246" t="s">
        <v>1068</v>
      </c>
    </row>
    <row r="247" spans="2:10" x14ac:dyDescent="0.35">
      <c r="B247">
        <v>206</v>
      </c>
      <c r="C247" s="8">
        <v>250</v>
      </c>
      <c r="D247" t="s">
        <v>725</v>
      </c>
      <c r="E247" t="s">
        <v>970</v>
      </c>
      <c r="F247" t="s">
        <v>1069</v>
      </c>
      <c r="G247" t="s">
        <v>139</v>
      </c>
      <c r="H247" t="s">
        <v>15</v>
      </c>
      <c r="I247" s="9" t="s">
        <v>140</v>
      </c>
      <c r="J247" t="s">
        <v>1070</v>
      </c>
    </row>
    <row r="248" spans="2:10" x14ac:dyDescent="0.35">
      <c r="B248">
        <v>205</v>
      </c>
      <c r="C248" s="8">
        <v>250</v>
      </c>
      <c r="D248" t="s">
        <v>561</v>
      </c>
      <c r="E248" t="s">
        <v>1071</v>
      </c>
      <c r="F248" t="s">
        <v>1072</v>
      </c>
      <c r="G248" t="s">
        <v>1073</v>
      </c>
      <c r="H248" t="s">
        <v>9</v>
      </c>
      <c r="I248" s="9" t="s">
        <v>1074</v>
      </c>
      <c r="J248" t="s">
        <v>1075</v>
      </c>
    </row>
    <row r="249" spans="2:10" x14ac:dyDescent="0.35">
      <c r="B249">
        <v>204</v>
      </c>
      <c r="C249" s="8">
        <v>1000</v>
      </c>
      <c r="D249" t="s">
        <v>321</v>
      </c>
      <c r="E249" t="s">
        <v>1076</v>
      </c>
      <c r="F249" t="s">
        <v>1077</v>
      </c>
      <c r="G249" t="s">
        <v>59</v>
      </c>
      <c r="H249" t="s">
        <v>15</v>
      </c>
      <c r="I249" s="9" t="s">
        <v>60</v>
      </c>
      <c r="J249" t="s">
        <v>1078</v>
      </c>
    </row>
    <row r="250" spans="2:10" x14ac:dyDescent="0.35">
      <c r="B250">
        <v>203</v>
      </c>
      <c r="C250" s="8">
        <v>1000</v>
      </c>
      <c r="D250" t="s">
        <v>230</v>
      </c>
      <c r="E250" t="s">
        <v>1079</v>
      </c>
      <c r="F250" t="s">
        <v>1080</v>
      </c>
      <c r="G250" t="s">
        <v>452</v>
      </c>
      <c r="H250" t="s">
        <v>15</v>
      </c>
      <c r="I250" s="9" t="s">
        <v>453</v>
      </c>
      <c r="J250" t="s">
        <v>1081</v>
      </c>
    </row>
    <row r="251" spans="2:10" x14ac:dyDescent="0.35">
      <c r="B251">
        <v>202</v>
      </c>
      <c r="C251" s="8">
        <v>1000</v>
      </c>
      <c r="D251" t="s">
        <v>76</v>
      </c>
      <c r="E251" t="s">
        <v>1082</v>
      </c>
      <c r="F251" t="s">
        <v>1083</v>
      </c>
      <c r="G251" t="s">
        <v>1084</v>
      </c>
      <c r="H251" t="s">
        <v>1085</v>
      </c>
      <c r="I251" s="9" t="s">
        <v>1086</v>
      </c>
      <c r="J251" t="s">
        <v>1087</v>
      </c>
    </row>
    <row r="252" spans="2:10" x14ac:dyDescent="0.35">
      <c r="B252">
        <v>201</v>
      </c>
      <c r="C252" s="8">
        <v>10000</v>
      </c>
      <c r="D252" t="s">
        <v>1088</v>
      </c>
      <c r="E252" t="s">
        <v>1089</v>
      </c>
      <c r="F252" t="s">
        <v>1090</v>
      </c>
      <c r="G252" t="s">
        <v>27</v>
      </c>
      <c r="H252" t="s">
        <v>15</v>
      </c>
      <c r="I252" s="9" t="s">
        <v>49</v>
      </c>
      <c r="J252" t="s">
        <v>1091</v>
      </c>
    </row>
    <row r="253" spans="2:10" x14ac:dyDescent="0.35">
      <c r="B253">
        <v>200</v>
      </c>
      <c r="C253" s="8">
        <v>500</v>
      </c>
      <c r="D253" t="s">
        <v>1092</v>
      </c>
      <c r="E253" t="s">
        <v>1093</v>
      </c>
      <c r="F253" t="s">
        <v>1094</v>
      </c>
      <c r="G253" t="s">
        <v>1095</v>
      </c>
      <c r="H253" t="s">
        <v>15</v>
      </c>
      <c r="I253" s="9" t="s">
        <v>1096</v>
      </c>
      <c r="J253" t="s">
        <v>1097</v>
      </c>
    </row>
    <row r="254" spans="2:10" x14ac:dyDescent="0.35">
      <c r="B254">
        <v>199</v>
      </c>
      <c r="C254" s="8">
        <v>250</v>
      </c>
      <c r="D254" t="s">
        <v>733</v>
      </c>
      <c r="E254" t="s">
        <v>1098</v>
      </c>
      <c r="F254" t="s">
        <v>1099</v>
      </c>
      <c r="G254" t="s">
        <v>27</v>
      </c>
      <c r="H254" t="s">
        <v>15</v>
      </c>
      <c r="I254" s="9" t="s">
        <v>405</v>
      </c>
      <c r="J254" t="s">
        <v>1100</v>
      </c>
    </row>
    <row r="255" spans="2:10" x14ac:dyDescent="0.35">
      <c r="B255">
        <v>198</v>
      </c>
      <c r="C255" s="8">
        <v>250</v>
      </c>
      <c r="D255" t="s">
        <v>1101</v>
      </c>
      <c r="E255" t="s">
        <v>1102</v>
      </c>
      <c r="F255" t="s">
        <v>1103</v>
      </c>
      <c r="G255" t="s">
        <v>27</v>
      </c>
      <c r="H255" t="s">
        <v>15</v>
      </c>
      <c r="I255" s="9" t="s">
        <v>273</v>
      </c>
      <c r="J255" t="s">
        <v>1104</v>
      </c>
    </row>
    <row r="256" spans="2:10" x14ac:dyDescent="0.35">
      <c r="B256">
        <v>197</v>
      </c>
      <c r="C256" s="8">
        <v>500</v>
      </c>
      <c r="D256" t="s">
        <v>1105</v>
      </c>
      <c r="E256" t="s">
        <v>602</v>
      </c>
      <c r="F256" t="s">
        <v>1106</v>
      </c>
      <c r="G256" t="s">
        <v>27</v>
      </c>
      <c r="H256" t="s">
        <v>15</v>
      </c>
      <c r="I256" s="9" t="s">
        <v>157</v>
      </c>
      <c r="J256" t="s">
        <v>1107</v>
      </c>
    </row>
    <row r="257" spans="2:10" x14ac:dyDescent="0.35">
      <c r="B257">
        <v>196</v>
      </c>
      <c r="C257" s="8">
        <v>1000</v>
      </c>
      <c r="D257" t="s">
        <v>1108</v>
      </c>
      <c r="E257" t="s">
        <v>638</v>
      </c>
      <c r="F257" t="s">
        <v>1109</v>
      </c>
      <c r="G257" t="s">
        <v>1110</v>
      </c>
      <c r="H257" t="s">
        <v>174</v>
      </c>
      <c r="I257" s="9">
        <v>87114</v>
      </c>
      <c r="J257" t="s">
        <v>1111</v>
      </c>
    </row>
    <row r="258" spans="2:10" x14ac:dyDescent="0.35">
      <c r="B258">
        <v>195</v>
      </c>
      <c r="C258" s="8">
        <v>250</v>
      </c>
      <c r="D258" t="s">
        <v>1112</v>
      </c>
      <c r="E258" t="s">
        <v>1113</v>
      </c>
      <c r="F258" t="s">
        <v>1114</v>
      </c>
      <c r="G258" t="s">
        <v>1115</v>
      </c>
      <c r="H258" t="s">
        <v>193</v>
      </c>
      <c r="I258" s="9" t="s">
        <v>1116</v>
      </c>
      <c r="J258" t="s">
        <v>1117</v>
      </c>
    </row>
    <row r="259" spans="2:10" x14ac:dyDescent="0.35">
      <c r="B259">
        <v>194</v>
      </c>
      <c r="C259" s="8">
        <v>500</v>
      </c>
      <c r="D259" t="s">
        <v>136</v>
      </c>
      <c r="E259" t="s">
        <v>1118</v>
      </c>
      <c r="F259" t="s">
        <v>1119</v>
      </c>
      <c r="G259" t="s">
        <v>27</v>
      </c>
      <c r="H259" t="s">
        <v>15</v>
      </c>
      <c r="I259" s="9" t="s">
        <v>89</v>
      </c>
      <c r="J259" t="s">
        <v>1120</v>
      </c>
    </row>
    <row r="260" spans="2:10" x14ac:dyDescent="0.35">
      <c r="B260">
        <v>193</v>
      </c>
      <c r="C260" s="8">
        <v>250</v>
      </c>
      <c r="D260" t="s">
        <v>847</v>
      </c>
      <c r="E260" t="s">
        <v>807</v>
      </c>
      <c r="F260" t="s">
        <v>1121</v>
      </c>
      <c r="G260" t="s">
        <v>1122</v>
      </c>
      <c r="H260" t="s">
        <v>921</v>
      </c>
      <c r="I260" s="9" t="s">
        <v>1123</v>
      </c>
      <c r="J260" t="s">
        <v>1124</v>
      </c>
    </row>
    <row r="261" spans="2:10" x14ac:dyDescent="0.35">
      <c r="B261">
        <v>192</v>
      </c>
      <c r="C261" s="8">
        <v>250</v>
      </c>
      <c r="D261" t="s">
        <v>154</v>
      </c>
      <c r="E261" t="s">
        <v>1125</v>
      </c>
      <c r="F261" t="s">
        <v>1126</v>
      </c>
      <c r="G261" t="s">
        <v>139</v>
      </c>
      <c r="H261" t="s">
        <v>15</v>
      </c>
      <c r="I261" s="9" t="s">
        <v>140</v>
      </c>
      <c r="J261" t="s">
        <v>1127</v>
      </c>
    </row>
    <row r="262" spans="2:10" x14ac:dyDescent="0.35">
      <c r="B262">
        <v>191</v>
      </c>
      <c r="C262" s="8">
        <v>250</v>
      </c>
      <c r="D262" t="s">
        <v>1128</v>
      </c>
      <c r="E262" t="s">
        <v>1129</v>
      </c>
      <c r="F262" t="s">
        <v>1130</v>
      </c>
      <c r="G262" t="s">
        <v>27</v>
      </c>
      <c r="H262" t="s">
        <v>15</v>
      </c>
      <c r="I262" s="9" t="s">
        <v>127</v>
      </c>
      <c r="J262" t="s">
        <v>1131</v>
      </c>
    </row>
    <row r="263" spans="2:10" x14ac:dyDescent="0.35">
      <c r="B263">
        <v>190</v>
      </c>
      <c r="C263" s="8">
        <v>250</v>
      </c>
      <c r="D263" t="s">
        <v>1132</v>
      </c>
      <c r="E263" t="s">
        <v>1133</v>
      </c>
      <c r="F263" t="s">
        <v>1134</v>
      </c>
      <c r="G263" t="s">
        <v>27</v>
      </c>
      <c r="H263" t="s">
        <v>15</v>
      </c>
      <c r="I263" s="9" t="s">
        <v>65</v>
      </c>
      <c r="J263" t="s">
        <v>1135</v>
      </c>
    </row>
    <row r="264" spans="2:10" x14ac:dyDescent="0.35">
      <c r="B264">
        <v>189</v>
      </c>
      <c r="C264" s="8">
        <v>500</v>
      </c>
      <c r="D264" t="s">
        <v>1136</v>
      </c>
      <c r="E264" t="s">
        <v>1137</v>
      </c>
      <c r="F264" t="s">
        <v>1138</v>
      </c>
      <c r="G264" t="s">
        <v>598</v>
      </c>
      <c r="H264" t="s">
        <v>15</v>
      </c>
      <c r="I264" s="9" t="s">
        <v>599</v>
      </c>
      <c r="J264" t="s">
        <v>1139</v>
      </c>
    </row>
    <row r="265" spans="2:10" x14ac:dyDescent="0.35">
      <c r="B265">
        <v>188</v>
      </c>
      <c r="C265" s="8">
        <v>500</v>
      </c>
      <c r="D265" t="s">
        <v>1140</v>
      </c>
      <c r="E265" t="s">
        <v>1141</v>
      </c>
      <c r="F265" t="s">
        <v>1142</v>
      </c>
      <c r="G265" t="s">
        <v>59</v>
      </c>
      <c r="H265" t="s">
        <v>15</v>
      </c>
      <c r="I265" s="9" t="s">
        <v>60</v>
      </c>
      <c r="J265" t="s">
        <v>1143</v>
      </c>
    </row>
    <row r="266" spans="2:10" x14ac:dyDescent="0.35">
      <c r="B266">
        <v>187</v>
      </c>
      <c r="C266" s="8">
        <v>5000</v>
      </c>
      <c r="D266" t="s">
        <v>310</v>
      </c>
      <c r="E266" t="s">
        <v>1144</v>
      </c>
      <c r="F266" t="s">
        <v>1145</v>
      </c>
      <c r="G266" t="s">
        <v>27</v>
      </c>
      <c r="H266" t="s">
        <v>15</v>
      </c>
      <c r="I266" s="9" t="s">
        <v>127</v>
      </c>
      <c r="J266" t="s">
        <v>1146</v>
      </c>
    </row>
    <row r="267" spans="2:10" x14ac:dyDescent="0.35">
      <c r="B267">
        <v>186</v>
      </c>
      <c r="C267" s="8">
        <v>25000</v>
      </c>
      <c r="D267" t="s">
        <v>1147</v>
      </c>
      <c r="E267" t="s">
        <v>1148</v>
      </c>
      <c r="F267" t="s">
        <v>1149</v>
      </c>
      <c r="G267" t="s">
        <v>1150</v>
      </c>
      <c r="H267" t="s">
        <v>15</v>
      </c>
      <c r="I267" s="9" t="s">
        <v>1151</v>
      </c>
      <c r="J267" t="s">
        <v>1152</v>
      </c>
    </row>
    <row r="268" spans="2:10" x14ac:dyDescent="0.35">
      <c r="B268">
        <v>185</v>
      </c>
      <c r="C268" s="8">
        <v>250</v>
      </c>
      <c r="D268" t="s">
        <v>983</v>
      </c>
      <c r="E268" t="s">
        <v>1153</v>
      </c>
      <c r="F268" t="s">
        <v>1154</v>
      </c>
      <c r="G268" t="s">
        <v>1155</v>
      </c>
      <c r="H268" t="s">
        <v>1156</v>
      </c>
      <c r="I268" s="9" t="s">
        <v>1157</v>
      </c>
      <c r="J268" t="s">
        <v>1158</v>
      </c>
    </row>
    <row r="269" spans="2:10" x14ac:dyDescent="0.35">
      <c r="B269">
        <v>184</v>
      </c>
      <c r="C269" s="8">
        <v>500</v>
      </c>
      <c r="D269" t="s">
        <v>595</v>
      </c>
      <c r="E269" t="s">
        <v>1159</v>
      </c>
      <c r="F269" t="s">
        <v>1160</v>
      </c>
      <c r="G269" t="s">
        <v>1161</v>
      </c>
      <c r="H269" t="s">
        <v>1162</v>
      </c>
      <c r="I269" s="9" t="s">
        <v>1163</v>
      </c>
      <c r="J269" t="s">
        <v>1164</v>
      </c>
    </row>
    <row r="270" spans="2:10" x14ac:dyDescent="0.35">
      <c r="B270">
        <v>183</v>
      </c>
      <c r="C270" s="8">
        <v>500</v>
      </c>
      <c r="D270" t="s">
        <v>1165</v>
      </c>
      <c r="E270" t="s">
        <v>1166</v>
      </c>
      <c r="F270" t="s">
        <v>1167</v>
      </c>
      <c r="G270" t="s">
        <v>1168</v>
      </c>
      <c r="H270" t="s">
        <v>1169</v>
      </c>
      <c r="I270" s="9" t="s">
        <v>1170</v>
      </c>
      <c r="J270" t="s">
        <v>1171</v>
      </c>
    </row>
    <row r="271" spans="2:10" x14ac:dyDescent="0.35">
      <c r="B271">
        <v>182</v>
      </c>
      <c r="C271" s="8">
        <v>250</v>
      </c>
      <c r="D271" t="s">
        <v>847</v>
      </c>
      <c r="E271" t="s">
        <v>705</v>
      </c>
      <c r="F271" t="s">
        <v>1172</v>
      </c>
      <c r="G271" t="s">
        <v>1173</v>
      </c>
      <c r="H271" t="s">
        <v>9</v>
      </c>
      <c r="I271" s="9" t="s">
        <v>1174</v>
      </c>
      <c r="J271" t="s">
        <v>1175</v>
      </c>
    </row>
    <row r="272" spans="2:10" x14ac:dyDescent="0.35">
      <c r="B272">
        <v>181</v>
      </c>
      <c r="C272" s="8">
        <v>2500</v>
      </c>
      <c r="D272" t="s">
        <v>1176</v>
      </c>
      <c r="E272" t="s">
        <v>1177</v>
      </c>
      <c r="F272" t="s">
        <v>1178</v>
      </c>
      <c r="G272" t="s">
        <v>27</v>
      </c>
      <c r="H272" t="s">
        <v>15</v>
      </c>
      <c r="I272" s="9" t="s">
        <v>44</v>
      </c>
      <c r="J272" t="s">
        <v>1179</v>
      </c>
    </row>
    <row r="273" spans="2:10" x14ac:dyDescent="0.35">
      <c r="B273">
        <v>180</v>
      </c>
      <c r="C273" s="8">
        <v>5000</v>
      </c>
      <c r="D273" t="s">
        <v>676</v>
      </c>
      <c r="E273" t="s">
        <v>1180</v>
      </c>
      <c r="F273" t="s">
        <v>1181</v>
      </c>
      <c r="G273" t="s">
        <v>487</v>
      </c>
      <c r="H273" t="s">
        <v>9</v>
      </c>
      <c r="I273" s="9" t="s">
        <v>1182</v>
      </c>
      <c r="J273" t="s">
        <v>1183</v>
      </c>
    </row>
    <row r="274" spans="2:10" x14ac:dyDescent="0.35">
      <c r="B274">
        <v>179</v>
      </c>
      <c r="C274" s="8">
        <v>250</v>
      </c>
      <c r="D274" t="s">
        <v>1184</v>
      </c>
      <c r="E274" t="s">
        <v>1185</v>
      </c>
      <c r="F274" t="s">
        <v>1186</v>
      </c>
      <c r="G274" t="s">
        <v>199</v>
      </c>
      <c r="H274" t="s">
        <v>193</v>
      </c>
      <c r="I274" s="9" t="s">
        <v>1187</v>
      </c>
      <c r="J274" t="s">
        <v>1188</v>
      </c>
    </row>
    <row r="275" spans="2:10" x14ac:dyDescent="0.35">
      <c r="B275">
        <v>178</v>
      </c>
      <c r="C275" s="8">
        <v>500</v>
      </c>
      <c r="D275" t="s">
        <v>986</v>
      </c>
      <c r="E275" t="s">
        <v>1189</v>
      </c>
      <c r="F275" t="s">
        <v>1190</v>
      </c>
      <c r="G275" t="s">
        <v>186</v>
      </c>
      <c r="H275" t="s">
        <v>15</v>
      </c>
      <c r="I275" s="9" t="s">
        <v>187</v>
      </c>
      <c r="J275" t="s">
        <v>1191</v>
      </c>
    </row>
    <row r="276" spans="2:10" x14ac:dyDescent="0.35">
      <c r="B276">
        <v>177</v>
      </c>
      <c r="C276" s="8">
        <v>1000</v>
      </c>
      <c r="D276" t="s">
        <v>1192</v>
      </c>
      <c r="E276" t="s">
        <v>1193</v>
      </c>
      <c r="F276" t="s">
        <v>1194</v>
      </c>
      <c r="G276" t="s">
        <v>27</v>
      </c>
      <c r="H276" t="s">
        <v>15</v>
      </c>
      <c r="I276" s="9" t="s">
        <v>152</v>
      </c>
      <c r="J276" t="s">
        <v>633</v>
      </c>
    </row>
    <row r="277" spans="2:10" x14ac:dyDescent="0.35">
      <c r="B277">
        <v>176</v>
      </c>
      <c r="C277" s="8">
        <v>250</v>
      </c>
      <c r="D277" t="s">
        <v>1195</v>
      </c>
      <c r="E277" t="s">
        <v>371</v>
      </c>
      <c r="F277" t="s">
        <v>1196</v>
      </c>
      <c r="G277" t="s">
        <v>1197</v>
      </c>
      <c r="H277" t="s">
        <v>1198</v>
      </c>
      <c r="I277" s="9" t="s">
        <v>1199</v>
      </c>
      <c r="J277" t="s">
        <v>1200</v>
      </c>
    </row>
    <row r="278" spans="2:10" x14ac:dyDescent="0.35">
      <c r="B278">
        <v>175</v>
      </c>
      <c r="C278" s="8">
        <v>250</v>
      </c>
      <c r="D278" t="s">
        <v>325</v>
      </c>
      <c r="E278" t="s">
        <v>1201</v>
      </c>
      <c r="F278" t="s">
        <v>1202</v>
      </c>
      <c r="G278" t="s">
        <v>1203</v>
      </c>
      <c r="H278" t="s">
        <v>15</v>
      </c>
      <c r="I278" s="9" t="s">
        <v>1204</v>
      </c>
      <c r="J278" t="s">
        <v>1205</v>
      </c>
    </row>
    <row r="279" spans="2:10" x14ac:dyDescent="0.35">
      <c r="B279">
        <v>174</v>
      </c>
      <c r="C279" s="8">
        <v>250</v>
      </c>
      <c r="D279" t="s">
        <v>1140</v>
      </c>
      <c r="E279" t="s">
        <v>1206</v>
      </c>
      <c r="F279" t="s">
        <v>1207</v>
      </c>
      <c r="G279" t="s">
        <v>139</v>
      </c>
      <c r="H279" t="s">
        <v>15</v>
      </c>
      <c r="I279" s="9" t="s">
        <v>140</v>
      </c>
      <c r="J279" t="s">
        <v>1208</v>
      </c>
    </row>
    <row r="280" spans="2:10" x14ac:dyDescent="0.35">
      <c r="B280">
        <v>173</v>
      </c>
      <c r="C280" s="8">
        <v>500</v>
      </c>
      <c r="D280" t="s">
        <v>1209</v>
      </c>
      <c r="E280" t="s">
        <v>902</v>
      </c>
      <c r="F280" t="s">
        <v>1210</v>
      </c>
      <c r="G280" t="s">
        <v>27</v>
      </c>
      <c r="H280" t="s">
        <v>15</v>
      </c>
      <c r="I280" s="9" t="s">
        <v>39</v>
      </c>
      <c r="J280" t="s">
        <v>1211</v>
      </c>
    </row>
    <row r="281" spans="2:10" x14ac:dyDescent="0.35">
      <c r="B281">
        <v>172</v>
      </c>
      <c r="C281" s="8">
        <v>500</v>
      </c>
      <c r="D281" t="s">
        <v>332</v>
      </c>
      <c r="E281" t="s">
        <v>638</v>
      </c>
      <c r="F281" t="s">
        <v>1212</v>
      </c>
      <c r="G281" t="s">
        <v>1213</v>
      </c>
      <c r="H281" t="s">
        <v>1169</v>
      </c>
      <c r="I281" s="9" t="s">
        <v>1214</v>
      </c>
      <c r="J281" t="s">
        <v>1215</v>
      </c>
    </row>
    <row r="282" spans="2:10" x14ac:dyDescent="0.35">
      <c r="B282">
        <v>171</v>
      </c>
      <c r="C282" s="8">
        <v>500</v>
      </c>
      <c r="D282" t="s">
        <v>1216</v>
      </c>
      <c r="E282" t="s">
        <v>1217</v>
      </c>
      <c r="F282" t="s">
        <v>1218</v>
      </c>
      <c r="G282" t="s">
        <v>264</v>
      </c>
      <c r="H282" t="s">
        <v>15</v>
      </c>
      <c r="I282" s="9" t="s">
        <v>265</v>
      </c>
      <c r="J282" t="s">
        <v>1219</v>
      </c>
    </row>
    <row r="283" spans="2:10" x14ac:dyDescent="0.35">
      <c r="B283">
        <v>170</v>
      </c>
      <c r="C283" s="8">
        <v>500</v>
      </c>
      <c r="D283" t="s">
        <v>738</v>
      </c>
      <c r="E283" t="s">
        <v>47</v>
      </c>
      <c r="F283" t="s">
        <v>1220</v>
      </c>
      <c r="G283" t="s">
        <v>27</v>
      </c>
      <c r="H283" t="s">
        <v>15</v>
      </c>
      <c r="I283" s="9" t="s">
        <v>127</v>
      </c>
      <c r="J283" t="s">
        <v>1221</v>
      </c>
    </row>
    <row r="284" spans="2:10" x14ac:dyDescent="0.35">
      <c r="B284">
        <v>169</v>
      </c>
      <c r="C284" s="8">
        <v>250</v>
      </c>
      <c r="D284" t="s">
        <v>1222</v>
      </c>
      <c r="E284" t="s">
        <v>1223</v>
      </c>
      <c r="F284" t="s">
        <v>1224</v>
      </c>
      <c r="G284" t="s">
        <v>1225</v>
      </c>
      <c r="H284" t="s">
        <v>1156</v>
      </c>
      <c r="I284" s="9" t="s">
        <v>1226</v>
      </c>
      <c r="J284" t="s">
        <v>1227</v>
      </c>
    </row>
    <row r="285" spans="2:10" x14ac:dyDescent="0.35">
      <c r="B285">
        <v>168</v>
      </c>
      <c r="C285" s="8">
        <v>250</v>
      </c>
      <c r="D285" t="s">
        <v>1228</v>
      </c>
      <c r="E285" t="s">
        <v>1229</v>
      </c>
      <c r="F285" t="s">
        <v>1230</v>
      </c>
      <c r="G285" t="s">
        <v>27</v>
      </c>
      <c r="H285" t="s">
        <v>15</v>
      </c>
      <c r="I285" s="9" t="s">
        <v>44</v>
      </c>
      <c r="J285" t="s">
        <v>1231</v>
      </c>
    </row>
    <row r="286" spans="2:10" x14ac:dyDescent="0.35">
      <c r="B286">
        <v>167</v>
      </c>
      <c r="C286" s="8">
        <v>250</v>
      </c>
      <c r="D286" t="s">
        <v>1232</v>
      </c>
      <c r="E286" t="s">
        <v>1233</v>
      </c>
      <c r="F286" t="s">
        <v>1234</v>
      </c>
      <c r="G286" t="s">
        <v>186</v>
      </c>
      <c r="H286" t="s">
        <v>15</v>
      </c>
      <c r="I286" s="9" t="s">
        <v>187</v>
      </c>
      <c r="J286" t="s">
        <v>1235</v>
      </c>
    </row>
    <row r="287" spans="2:10" x14ac:dyDescent="0.35">
      <c r="B287">
        <v>166</v>
      </c>
      <c r="C287" s="8">
        <v>500</v>
      </c>
      <c r="D287" t="s">
        <v>1236</v>
      </c>
      <c r="E287" t="s">
        <v>1237</v>
      </c>
      <c r="F287" t="s">
        <v>1238</v>
      </c>
      <c r="G287" t="s">
        <v>27</v>
      </c>
      <c r="H287" t="s">
        <v>15</v>
      </c>
      <c r="I287" s="9" t="s">
        <v>54</v>
      </c>
      <c r="J287" t="s">
        <v>1239</v>
      </c>
    </row>
    <row r="288" spans="2:10" x14ac:dyDescent="0.35">
      <c r="B288">
        <v>165</v>
      </c>
      <c r="C288" s="8">
        <v>500</v>
      </c>
      <c r="D288" t="s">
        <v>1240</v>
      </c>
      <c r="E288" t="s">
        <v>1241</v>
      </c>
      <c r="F288" t="s">
        <v>1242</v>
      </c>
      <c r="G288" t="s">
        <v>1243</v>
      </c>
      <c r="H288" t="s">
        <v>9</v>
      </c>
      <c r="I288" s="9" t="s">
        <v>1244</v>
      </c>
      <c r="J288" t="s">
        <v>1245</v>
      </c>
    </row>
    <row r="289" spans="2:10" x14ac:dyDescent="0.35">
      <c r="B289">
        <v>164</v>
      </c>
      <c r="C289" s="8">
        <v>1000</v>
      </c>
      <c r="D289" t="s">
        <v>617</v>
      </c>
      <c r="E289" t="s">
        <v>1246</v>
      </c>
      <c r="F289" t="s">
        <v>1247</v>
      </c>
      <c r="G289" t="s">
        <v>186</v>
      </c>
      <c r="H289" t="s">
        <v>15</v>
      </c>
      <c r="I289" s="9" t="s">
        <v>187</v>
      </c>
      <c r="J289" t="s">
        <v>1248</v>
      </c>
    </row>
    <row r="290" spans="2:10" x14ac:dyDescent="0.35">
      <c r="B290">
        <v>163</v>
      </c>
      <c r="C290" s="8">
        <v>500</v>
      </c>
      <c r="D290" t="s">
        <v>76</v>
      </c>
      <c r="E290" t="s">
        <v>865</v>
      </c>
      <c r="F290" t="s">
        <v>1249</v>
      </c>
      <c r="G290" t="s">
        <v>895</v>
      </c>
      <c r="H290" t="s">
        <v>9</v>
      </c>
      <c r="I290" s="9" t="s">
        <v>896</v>
      </c>
      <c r="J290" t="s">
        <v>1250</v>
      </c>
    </row>
    <row r="291" spans="2:10" x14ac:dyDescent="0.35">
      <c r="B291">
        <v>162</v>
      </c>
      <c r="C291" s="8">
        <v>2500</v>
      </c>
      <c r="D291" t="s">
        <v>307</v>
      </c>
      <c r="E291" t="s">
        <v>1251</v>
      </c>
      <c r="F291" t="s">
        <v>1252</v>
      </c>
      <c r="G291" t="s">
        <v>378</v>
      </c>
      <c r="H291" t="s">
        <v>15</v>
      </c>
      <c r="I291" s="9" t="s">
        <v>379</v>
      </c>
      <c r="J291" t="s">
        <v>1253</v>
      </c>
    </row>
    <row r="292" spans="2:10" x14ac:dyDescent="0.35">
      <c r="B292">
        <v>161</v>
      </c>
      <c r="C292" s="8">
        <v>2500</v>
      </c>
      <c r="D292" t="s">
        <v>86</v>
      </c>
      <c r="E292" t="s">
        <v>1254</v>
      </c>
      <c r="F292" t="s">
        <v>1255</v>
      </c>
      <c r="G292" t="s">
        <v>27</v>
      </c>
      <c r="H292" t="s">
        <v>15</v>
      </c>
      <c r="I292" s="9" t="s">
        <v>273</v>
      </c>
      <c r="J292" t="s">
        <v>1256</v>
      </c>
    </row>
    <row r="293" spans="2:10" x14ac:dyDescent="0.35">
      <c r="B293">
        <v>160</v>
      </c>
      <c r="C293" s="8">
        <v>250</v>
      </c>
      <c r="D293" t="s">
        <v>1257</v>
      </c>
      <c r="E293" t="s">
        <v>1258</v>
      </c>
      <c r="F293" t="s">
        <v>1259</v>
      </c>
      <c r="G293" t="s">
        <v>27</v>
      </c>
      <c r="H293" t="s">
        <v>15</v>
      </c>
      <c r="I293" s="9" t="s">
        <v>413</v>
      </c>
      <c r="J293" t="s">
        <v>1260</v>
      </c>
    </row>
    <row r="294" spans="2:10" x14ac:dyDescent="0.35">
      <c r="B294">
        <v>159</v>
      </c>
      <c r="C294" s="8">
        <v>250</v>
      </c>
      <c r="D294" t="s">
        <v>1261</v>
      </c>
      <c r="E294" t="s">
        <v>1262</v>
      </c>
      <c r="F294" t="s">
        <v>1263</v>
      </c>
      <c r="G294" t="s">
        <v>221</v>
      </c>
      <c r="H294" t="s">
        <v>15</v>
      </c>
      <c r="I294" s="9" t="s">
        <v>222</v>
      </c>
      <c r="J294" t="s">
        <v>1264</v>
      </c>
    </row>
    <row r="295" spans="2:10" x14ac:dyDescent="0.35">
      <c r="B295">
        <v>158</v>
      </c>
      <c r="C295" s="8">
        <v>500</v>
      </c>
      <c r="D295" t="s">
        <v>1265</v>
      </c>
      <c r="E295" t="s">
        <v>1266</v>
      </c>
      <c r="F295" t="s">
        <v>1267</v>
      </c>
      <c r="G295" t="s">
        <v>1095</v>
      </c>
      <c r="H295" t="s">
        <v>15</v>
      </c>
      <c r="I295" s="9" t="s">
        <v>1096</v>
      </c>
      <c r="J295" t="s">
        <v>1268</v>
      </c>
    </row>
    <row r="296" spans="2:10" x14ac:dyDescent="0.35">
      <c r="B296">
        <v>157</v>
      </c>
      <c r="C296" s="8">
        <v>250</v>
      </c>
      <c r="D296" t="s">
        <v>762</v>
      </c>
      <c r="E296" t="s">
        <v>1269</v>
      </c>
      <c r="F296" t="s">
        <v>1270</v>
      </c>
      <c r="G296" t="s">
        <v>1271</v>
      </c>
      <c r="H296" t="s">
        <v>15</v>
      </c>
      <c r="I296" s="9" t="s">
        <v>1272</v>
      </c>
      <c r="J296" t="s">
        <v>1273</v>
      </c>
    </row>
    <row r="297" spans="2:10" x14ac:dyDescent="0.35">
      <c r="B297">
        <v>156</v>
      </c>
      <c r="C297" s="8">
        <v>250</v>
      </c>
      <c r="D297" t="s">
        <v>770</v>
      </c>
      <c r="E297" t="s">
        <v>1274</v>
      </c>
      <c r="F297" t="s">
        <v>1275</v>
      </c>
      <c r="G297" t="s">
        <v>112</v>
      </c>
      <c r="H297" t="s">
        <v>15</v>
      </c>
      <c r="I297" s="9" t="s">
        <v>113</v>
      </c>
      <c r="J297" t="s">
        <v>1276</v>
      </c>
    </row>
    <row r="298" spans="2:10" x14ac:dyDescent="0.35">
      <c r="B298">
        <v>155</v>
      </c>
      <c r="C298" s="8">
        <v>500</v>
      </c>
      <c r="D298" t="s">
        <v>1277</v>
      </c>
      <c r="E298" t="s">
        <v>1278</v>
      </c>
      <c r="F298" t="s">
        <v>1279</v>
      </c>
      <c r="G298" t="s">
        <v>27</v>
      </c>
      <c r="H298" t="s">
        <v>15</v>
      </c>
      <c r="I298" s="9" t="s">
        <v>127</v>
      </c>
      <c r="J298" t="s">
        <v>1280</v>
      </c>
    </row>
    <row r="299" spans="2:10" x14ac:dyDescent="0.35">
      <c r="B299">
        <v>154</v>
      </c>
      <c r="C299" s="8">
        <v>250</v>
      </c>
      <c r="D299" t="s">
        <v>1281</v>
      </c>
      <c r="E299" t="s">
        <v>1282</v>
      </c>
      <c r="F299" t="s">
        <v>1283</v>
      </c>
      <c r="G299" t="s">
        <v>112</v>
      </c>
      <c r="H299" t="s">
        <v>15</v>
      </c>
      <c r="I299" s="9" t="s">
        <v>113</v>
      </c>
      <c r="J299" t="s">
        <v>1284</v>
      </c>
    </row>
    <row r="300" spans="2:10" x14ac:dyDescent="0.35">
      <c r="B300">
        <v>153</v>
      </c>
      <c r="C300" s="8">
        <v>500</v>
      </c>
      <c r="D300" t="s">
        <v>514</v>
      </c>
      <c r="E300" t="s">
        <v>1285</v>
      </c>
      <c r="F300" t="s">
        <v>1286</v>
      </c>
      <c r="G300" t="s">
        <v>1287</v>
      </c>
      <c r="H300" t="s">
        <v>673</v>
      </c>
      <c r="I300" s="9" t="s">
        <v>1288</v>
      </c>
      <c r="J300" t="s">
        <v>1289</v>
      </c>
    </row>
    <row r="301" spans="2:10" x14ac:dyDescent="0.35">
      <c r="B301">
        <v>152</v>
      </c>
      <c r="C301" s="8">
        <v>500</v>
      </c>
      <c r="D301" t="s">
        <v>1240</v>
      </c>
      <c r="E301" t="s">
        <v>436</v>
      </c>
      <c r="F301" t="s">
        <v>1290</v>
      </c>
      <c r="G301" t="s">
        <v>335</v>
      </c>
      <c r="H301" t="s">
        <v>9</v>
      </c>
      <c r="I301" s="9" t="s">
        <v>336</v>
      </c>
      <c r="J301" t="s">
        <v>1291</v>
      </c>
    </row>
    <row r="302" spans="2:10" x14ac:dyDescent="0.35">
      <c r="B302">
        <v>151</v>
      </c>
      <c r="C302" s="8">
        <v>2500</v>
      </c>
      <c r="D302" t="s">
        <v>886</v>
      </c>
      <c r="E302" t="s">
        <v>1292</v>
      </c>
      <c r="F302" t="s">
        <v>1293</v>
      </c>
      <c r="G302" t="s">
        <v>27</v>
      </c>
      <c r="H302" t="s">
        <v>15</v>
      </c>
      <c r="I302" s="9" t="s">
        <v>157</v>
      </c>
      <c r="J302" t="s">
        <v>1294</v>
      </c>
    </row>
    <row r="303" spans="2:10" x14ac:dyDescent="0.35">
      <c r="B303">
        <v>150</v>
      </c>
      <c r="C303" s="8">
        <v>250</v>
      </c>
      <c r="D303" t="s">
        <v>1295</v>
      </c>
      <c r="E303" t="s">
        <v>1296</v>
      </c>
      <c r="F303" t="s">
        <v>1297</v>
      </c>
      <c r="G303" t="s">
        <v>27</v>
      </c>
      <c r="H303" t="s">
        <v>15</v>
      </c>
      <c r="I303" s="9" t="s">
        <v>413</v>
      </c>
      <c r="J303" t="s">
        <v>1298</v>
      </c>
    </row>
    <row r="304" spans="2:10" x14ac:dyDescent="0.35">
      <c r="B304">
        <v>149</v>
      </c>
      <c r="C304" s="8">
        <v>500</v>
      </c>
      <c r="D304" t="s">
        <v>1240</v>
      </c>
      <c r="E304" t="s">
        <v>1299</v>
      </c>
      <c r="F304" t="s">
        <v>1300</v>
      </c>
      <c r="G304" t="s">
        <v>399</v>
      </c>
      <c r="H304" t="s">
        <v>15</v>
      </c>
      <c r="I304" s="9" t="s">
        <v>400</v>
      </c>
      <c r="J304" t="s">
        <v>1301</v>
      </c>
    </row>
    <row r="305" spans="2:10" x14ac:dyDescent="0.35">
      <c r="B305">
        <v>148</v>
      </c>
      <c r="C305" s="8">
        <v>250</v>
      </c>
      <c r="D305" t="s">
        <v>210</v>
      </c>
      <c r="E305" t="s">
        <v>1302</v>
      </c>
      <c r="F305" t="s">
        <v>1303</v>
      </c>
      <c r="G305" t="s">
        <v>139</v>
      </c>
      <c r="H305" t="s">
        <v>15</v>
      </c>
      <c r="I305" s="9" t="s">
        <v>140</v>
      </c>
      <c r="J305" t="s">
        <v>1304</v>
      </c>
    </row>
    <row r="306" spans="2:10" x14ac:dyDescent="0.35">
      <c r="B306">
        <v>147</v>
      </c>
      <c r="C306" s="8">
        <v>250</v>
      </c>
      <c r="D306" t="s">
        <v>94</v>
      </c>
      <c r="E306" t="s">
        <v>167</v>
      </c>
      <c r="F306" t="s">
        <v>1305</v>
      </c>
      <c r="G306" t="s">
        <v>804</v>
      </c>
      <c r="H306" t="s">
        <v>9</v>
      </c>
      <c r="I306" s="9" t="s">
        <v>805</v>
      </c>
      <c r="J306" t="s">
        <v>1306</v>
      </c>
    </row>
    <row r="307" spans="2:10" x14ac:dyDescent="0.35">
      <c r="B307">
        <v>146</v>
      </c>
      <c r="C307" s="8">
        <v>250</v>
      </c>
      <c r="D307" t="s">
        <v>375</v>
      </c>
      <c r="E307" t="s">
        <v>51</v>
      </c>
      <c r="F307" t="s">
        <v>1307</v>
      </c>
      <c r="G307" t="s">
        <v>27</v>
      </c>
      <c r="H307" t="s">
        <v>15</v>
      </c>
      <c r="I307" s="9" t="s">
        <v>39</v>
      </c>
      <c r="J307" t="s">
        <v>1308</v>
      </c>
    </row>
    <row r="308" spans="2:10" x14ac:dyDescent="0.35">
      <c r="B308">
        <v>145</v>
      </c>
      <c r="C308" s="8">
        <v>500</v>
      </c>
      <c r="D308" t="s">
        <v>1309</v>
      </c>
      <c r="E308" t="s">
        <v>1310</v>
      </c>
      <c r="F308" t="s">
        <v>1311</v>
      </c>
      <c r="G308" t="s">
        <v>139</v>
      </c>
      <c r="H308" t="s">
        <v>15</v>
      </c>
      <c r="I308" s="9" t="s">
        <v>140</v>
      </c>
      <c r="J308" t="s">
        <v>1312</v>
      </c>
    </row>
    <row r="309" spans="2:10" x14ac:dyDescent="0.35">
      <c r="B309">
        <v>144</v>
      </c>
      <c r="C309" s="8">
        <v>1000</v>
      </c>
      <c r="D309" t="s">
        <v>1313</v>
      </c>
      <c r="E309" t="s">
        <v>1314</v>
      </c>
      <c r="F309" t="s">
        <v>1315</v>
      </c>
      <c r="G309" t="s">
        <v>27</v>
      </c>
      <c r="H309" t="s">
        <v>15</v>
      </c>
      <c r="I309" s="9" t="s">
        <v>44</v>
      </c>
      <c r="J309" t="s">
        <v>1316</v>
      </c>
    </row>
    <row r="310" spans="2:10" x14ac:dyDescent="0.35">
      <c r="B310">
        <v>143</v>
      </c>
      <c r="C310" s="8">
        <v>2500</v>
      </c>
      <c r="D310" t="s">
        <v>1317</v>
      </c>
      <c r="E310" t="s">
        <v>1318</v>
      </c>
      <c r="F310" t="s">
        <v>1319</v>
      </c>
      <c r="G310" t="s">
        <v>112</v>
      </c>
      <c r="H310" t="s">
        <v>15</v>
      </c>
      <c r="I310" s="9" t="s">
        <v>113</v>
      </c>
      <c r="J310" t="s">
        <v>1320</v>
      </c>
    </row>
    <row r="311" spans="2:10" x14ac:dyDescent="0.35">
      <c r="B311">
        <v>142</v>
      </c>
      <c r="C311" s="8">
        <v>250</v>
      </c>
      <c r="D311" t="s">
        <v>1321</v>
      </c>
      <c r="E311" t="s">
        <v>1322</v>
      </c>
      <c r="F311" t="s">
        <v>1323</v>
      </c>
      <c r="G311" t="s">
        <v>27</v>
      </c>
      <c r="H311" t="s">
        <v>15</v>
      </c>
      <c r="I311" s="9" t="s">
        <v>405</v>
      </c>
      <c r="J311" t="s">
        <v>1324</v>
      </c>
    </row>
    <row r="312" spans="2:10" x14ac:dyDescent="0.35">
      <c r="B312">
        <v>141</v>
      </c>
      <c r="C312" s="8">
        <v>2500</v>
      </c>
      <c r="D312" t="s">
        <v>1325</v>
      </c>
      <c r="E312" t="s">
        <v>1326</v>
      </c>
      <c r="F312" t="s">
        <v>1327</v>
      </c>
      <c r="G312" t="s">
        <v>27</v>
      </c>
      <c r="H312" t="s">
        <v>15</v>
      </c>
      <c r="I312" s="9" t="s">
        <v>127</v>
      </c>
      <c r="J312" t="s">
        <v>1328</v>
      </c>
    </row>
    <row r="313" spans="2:10" x14ac:dyDescent="0.35">
      <c r="B313">
        <v>140</v>
      </c>
      <c r="C313" s="8">
        <v>250</v>
      </c>
      <c r="D313" t="s">
        <v>1329</v>
      </c>
      <c r="E313" t="s">
        <v>1330</v>
      </c>
      <c r="F313" t="s">
        <v>1331</v>
      </c>
      <c r="G313" t="s">
        <v>1332</v>
      </c>
      <c r="H313" t="s">
        <v>9</v>
      </c>
      <c r="I313" s="9" t="s">
        <v>1333</v>
      </c>
      <c r="J313" t="s">
        <v>1334</v>
      </c>
    </row>
    <row r="314" spans="2:10" x14ac:dyDescent="0.35">
      <c r="B314">
        <v>139</v>
      </c>
      <c r="C314" s="8">
        <v>250</v>
      </c>
      <c r="D314" t="s">
        <v>1335</v>
      </c>
      <c r="E314" t="s">
        <v>1336</v>
      </c>
      <c r="F314" t="s">
        <v>1337</v>
      </c>
      <c r="G314" t="s">
        <v>27</v>
      </c>
      <c r="H314" t="s">
        <v>15</v>
      </c>
      <c r="I314" s="9" t="s">
        <v>44</v>
      </c>
      <c r="J314" t="s">
        <v>1338</v>
      </c>
    </row>
    <row r="315" spans="2:10" x14ac:dyDescent="0.35">
      <c r="B315">
        <v>138</v>
      </c>
      <c r="C315" s="8">
        <v>500</v>
      </c>
      <c r="D315" t="s">
        <v>1339</v>
      </c>
      <c r="E315" t="s">
        <v>1340</v>
      </c>
      <c r="F315" t="s">
        <v>1341</v>
      </c>
      <c r="G315" t="s">
        <v>27</v>
      </c>
      <c r="H315" t="s">
        <v>15</v>
      </c>
      <c r="I315" s="9" t="s">
        <v>39</v>
      </c>
      <c r="J315" t="s">
        <v>1342</v>
      </c>
    </row>
    <row r="316" spans="2:10" x14ac:dyDescent="0.35">
      <c r="B316">
        <v>137</v>
      </c>
      <c r="C316" s="8">
        <v>500</v>
      </c>
      <c r="D316" t="s">
        <v>742</v>
      </c>
      <c r="E316" t="s">
        <v>1343</v>
      </c>
      <c r="F316" t="s">
        <v>1344</v>
      </c>
      <c r="G316" t="s">
        <v>27</v>
      </c>
      <c r="H316" t="s">
        <v>15</v>
      </c>
      <c r="I316" s="9" t="s">
        <v>44</v>
      </c>
      <c r="J316" t="s">
        <v>1345</v>
      </c>
    </row>
    <row r="317" spans="2:10" x14ac:dyDescent="0.35">
      <c r="B317">
        <v>136</v>
      </c>
      <c r="C317" s="8">
        <v>250</v>
      </c>
      <c r="D317" t="s">
        <v>1346</v>
      </c>
      <c r="E317" t="s">
        <v>1347</v>
      </c>
      <c r="F317" t="s">
        <v>1348</v>
      </c>
      <c r="G317" t="s">
        <v>27</v>
      </c>
      <c r="H317" t="s">
        <v>15</v>
      </c>
      <c r="I317" s="9" t="s">
        <v>49</v>
      </c>
      <c r="J317" t="s">
        <v>1349</v>
      </c>
    </row>
    <row r="318" spans="2:10" x14ac:dyDescent="0.35">
      <c r="B318">
        <v>135</v>
      </c>
      <c r="C318" s="8">
        <v>500</v>
      </c>
      <c r="D318" t="s">
        <v>1350</v>
      </c>
      <c r="E318" t="s">
        <v>347</v>
      </c>
      <c r="F318" t="s">
        <v>1351</v>
      </c>
      <c r="G318" t="s">
        <v>1352</v>
      </c>
      <c r="H318" t="s">
        <v>9</v>
      </c>
      <c r="I318" s="9" t="s">
        <v>1353</v>
      </c>
      <c r="J318" t="s">
        <v>1354</v>
      </c>
    </row>
    <row r="319" spans="2:10" x14ac:dyDescent="0.35">
      <c r="B319">
        <v>134</v>
      </c>
      <c r="C319" s="8">
        <v>1000</v>
      </c>
      <c r="D319" t="s">
        <v>449</v>
      </c>
      <c r="E319" t="s">
        <v>1355</v>
      </c>
      <c r="F319" t="s">
        <v>1356</v>
      </c>
      <c r="G319" t="s">
        <v>27</v>
      </c>
      <c r="H319" t="s">
        <v>15</v>
      </c>
      <c r="I319" s="9" t="s">
        <v>49</v>
      </c>
      <c r="J319" t="s">
        <v>1357</v>
      </c>
    </row>
    <row r="320" spans="2:10" x14ac:dyDescent="0.35">
      <c r="B320">
        <v>133</v>
      </c>
      <c r="C320" s="8">
        <v>1000</v>
      </c>
      <c r="D320" t="s">
        <v>1358</v>
      </c>
      <c r="E320" t="s">
        <v>1359</v>
      </c>
      <c r="F320" t="s">
        <v>1360</v>
      </c>
      <c r="G320" t="s">
        <v>27</v>
      </c>
      <c r="H320" t="s">
        <v>15</v>
      </c>
      <c r="I320" s="9" t="s">
        <v>405</v>
      </c>
      <c r="J320" t="s">
        <v>1361</v>
      </c>
    </row>
    <row r="321" spans="2:10" x14ac:dyDescent="0.35">
      <c r="B321">
        <v>132</v>
      </c>
      <c r="C321" s="8">
        <v>1000</v>
      </c>
      <c r="D321" t="s">
        <v>1362</v>
      </c>
      <c r="E321" t="s">
        <v>1363</v>
      </c>
      <c r="F321" t="s">
        <v>1364</v>
      </c>
      <c r="G321" t="s">
        <v>27</v>
      </c>
      <c r="H321" t="s">
        <v>15</v>
      </c>
      <c r="I321" s="9" t="s">
        <v>39</v>
      </c>
      <c r="J321" t="s">
        <v>1365</v>
      </c>
    </row>
    <row r="322" spans="2:10" x14ac:dyDescent="0.35">
      <c r="B322">
        <v>131</v>
      </c>
      <c r="C322" s="8">
        <v>2500</v>
      </c>
      <c r="D322" t="s">
        <v>1366</v>
      </c>
      <c r="E322" t="s">
        <v>1367</v>
      </c>
      <c r="F322" t="s">
        <v>1368</v>
      </c>
      <c r="G322" t="s">
        <v>1369</v>
      </c>
      <c r="H322" t="s">
        <v>673</v>
      </c>
      <c r="I322" s="9" t="s">
        <v>1370</v>
      </c>
      <c r="J322" t="s">
        <v>1371</v>
      </c>
    </row>
    <row r="323" spans="2:10" x14ac:dyDescent="0.35">
      <c r="B323">
        <v>130</v>
      </c>
      <c r="C323" s="8">
        <v>250</v>
      </c>
      <c r="D323" t="s">
        <v>1372</v>
      </c>
      <c r="E323" t="s">
        <v>1373</v>
      </c>
      <c r="F323" t="s">
        <v>1374</v>
      </c>
      <c r="G323" t="s">
        <v>27</v>
      </c>
      <c r="H323" t="s">
        <v>15</v>
      </c>
      <c r="I323" s="9" t="s">
        <v>152</v>
      </c>
      <c r="J323" t="s">
        <v>1375</v>
      </c>
    </row>
    <row r="324" spans="2:10" x14ac:dyDescent="0.35">
      <c r="B324">
        <v>129</v>
      </c>
      <c r="C324" s="8">
        <v>500</v>
      </c>
      <c r="D324" t="s">
        <v>1376</v>
      </c>
      <c r="E324" t="s">
        <v>1377</v>
      </c>
      <c r="F324" t="s">
        <v>1378</v>
      </c>
      <c r="G324" t="s">
        <v>27</v>
      </c>
      <c r="H324" t="s">
        <v>15</v>
      </c>
      <c r="I324" s="9" t="s">
        <v>28</v>
      </c>
      <c r="J324" t="s">
        <v>1379</v>
      </c>
    </row>
    <row r="325" spans="2:10" x14ac:dyDescent="0.35">
      <c r="B325">
        <v>128</v>
      </c>
      <c r="C325" s="8">
        <v>1000</v>
      </c>
      <c r="D325" t="s">
        <v>321</v>
      </c>
      <c r="E325" t="s">
        <v>259</v>
      </c>
      <c r="F325" t="s">
        <v>1380</v>
      </c>
      <c r="G325" t="s">
        <v>27</v>
      </c>
      <c r="H325" t="s">
        <v>15</v>
      </c>
      <c r="I325" s="9" t="s">
        <v>44</v>
      </c>
      <c r="J325" t="s">
        <v>253</v>
      </c>
    </row>
    <row r="326" spans="2:10" x14ac:dyDescent="0.35">
      <c r="B326">
        <v>127</v>
      </c>
      <c r="C326" s="8">
        <v>250</v>
      </c>
      <c r="D326" t="s">
        <v>676</v>
      </c>
      <c r="E326" t="s">
        <v>1381</v>
      </c>
      <c r="F326" t="s">
        <v>1382</v>
      </c>
      <c r="G326" t="s">
        <v>27</v>
      </c>
      <c r="H326" t="s">
        <v>15</v>
      </c>
      <c r="I326" s="9" t="s">
        <v>28</v>
      </c>
      <c r="J326" t="s">
        <v>1383</v>
      </c>
    </row>
    <row r="327" spans="2:10" x14ac:dyDescent="0.35">
      <c r="B327">
        <v>126</v>
      </c>
      <c r="C327" s="8">
        <v>250</v>
      </c>
      <c r="D327" t="s">
        <v>210</v>
      </c>
      <c r="E327" t="s">
        <v>1384</v>
      </c>
      <c r="F327" t="s">
        <v>1385</v>
      </c>
      <c r="G327" t="s">
        <v>27</v>
      </c>
      <c r="H327" t="s">
        <v>15</v>
      </c>
      <c r="I327" s="9" t="s">
        <v>127</v>
      </c>
      <c r="J327" t="s">
        <v>1386</v>
      </c>
    </row>
    <row r="328" spans="2:10" x14ac:dyDescent="0.35">
      <c r="B328">
        <v>125</v>
      </c>
      <c r="C328" s="8">
        <v>500</v>
      </c>
      <c r="D328" t="s">
        <v>1387</v>
      </c>
      <c r="E328" t="s">
        <v>1388</v>
      </c>
      <c r="F328" t="s">
        <v>1389</v>
      </c>
      <c r="G328" t="s">
        <v>186</v>
      </c>
      <c r="H328" t="s">
        <v>15</v>
      </c>
      <c r="I328" s="9" t="s">
        <v>187</v>
      </c>
      <c r="J328" t="s">
        <v>1390</v>
      </c>
    </row>
    <row r="329" spans="2:10" x14ac:dyDescent="0.35">
      <c r="B329">
        <v>124</v>
      </c>
      <c r="C329" s="8">
        <v>1000</v>
      </c>
      <c r="D329" t="s">
        <v>1391</v>
      </c>
      <c r="E329" t="s">
        <v>1392</v>
      </c>
      <c r="F329" t="s">
        <v>1393</v>
      </c>
      <c r="G329" t="s">
        <v>27</v>
      </c>
      <c r="H329" t="s">
        <v>15</v>
      </c>
      <c r="I329" s="9" t="s">
        <v>54</v>
      </c>
      <c r="J329" t="s">
        <v>1394</v>
      </c>
    </row>
    <row r="330" spans="2:10" x14ac:dyDescent="0.35">
      <c r="B330">
        <v>123</v>
      </c>
      <c r="C330" s="8">
        <v>50000</v>
      </c>
      <c r="D330" t="s">
        <v>1395</v>
      </c>
      <c r="E330" t="s">
        <v>1396</v>
      </c>
      <c r="F330" t="s">
        <v>1397</v>
      </c>
      <c r="G330" t="s">
        <v>1398</v>
      </c>
      <c r="H330" t="s">
        <v>1399</v>
      </c>
      <c r="I330" s="9" t="s">
        <v>1400</v>
      </c>
      <c r="J330" t="s">
        <v>1401</v>
      </c>
    </row>
    <row r="331" spans="2:10" x14ac:dyDescent="0.35">
      <c r="B331">
        <v>122</v>
      </c>
      <c r="C331" s="8">
        <v>250</v>
      </c>
      <c r="D331" t="s">
        <v>1402</v>
      </c>
      <c r="E331" t="s">
        <v>1403</v>
      </c>
      <c r="F331" t="s">
        <v>1404</v>
      </c>
      <c r="G331" t="s">
        <v>1405</v>
      </c>
      <c r="H331" t="s">
        <v>9</v>
      </c>
      <c r="I331" s="9" t="s">
        <v>1406</v>
      </c>
      <c r="J331" t="s">
        <v>1407</v>
      </c>
    </row>
    <row r="332" spans="2:10" x14ac:dyDescent="0.35">
      <c r="B332">
        <v>121</v>
      </c>
      <c r="C332" s="8">
        <v>500</v>
      </c>
      <c r="D332" t="s">
        <v>136</v>
      </c>
      <c r="E332" t="s">
        <v>1408</v>
      </c>
      <c r="F332" t="s">
        <v>1409</v>
      </c>
      <c r="G332" t="s">
        <v>27</v>
      </c>
      <c r="H332" t="s">
        <v>15</v>
      </c>
      <c r="I332" s="9" t="s">
        <v>44</v>
      </c>
      <c r="J332" t="s">
        <v>1410</v>
      </c>
    </row>
    <row r="333" spans="2:10" x14ac:dyDescent="0.35">
      <c r="B333">
        <v>120</v>
      </c>
      <c r="C333" s="8">
        <v>250</v>
      </c>
      <c r="D333" t="s">
        <v>1411</v>
      </c>
      <c r="E333" t="s">
        <v>1412</v>
      </c>
      <c r="F333" t="s">
        <v>1413</v>
      </c>
      <c r="G333" t="s">
        <v>27</v>
      </c>
      <c r="H333" t="s">
        <v>15</v>
      </c>
      <c r="I333" s="9" t="s">
        <v>39</v>
      </c>
      <c r="J333" t="s">
        <v>1414</v>
      </c>
    </row>
    <row r="334" spans="2:10" x14ac:dyDescent="0.35">
      <c r="B334">
        <v>119</v>
      </c>
      <c r="C334" s="8">
        <v>250</v>
      </c>
      <c r="D334" t="s">
        <v>1415</v>
      </c>
      <c r="E334" t="s">
        <v>1416</v>
      </c>
      <c r="F334" t="s">
        <v>1417</v>
      </c>
      <c r="G334" t="s">
        <v>1418</v>
      </c>
      <c r="H334" t="s">
        <v>15</v>
      </c>
      <c r="I334" s="9" t="s">
        <v>1419</v>
      </c>
      <c r="J334" t="s">
        <v>1420</v>
      </c>
    </row>
    <row r="335" spans="2:10" x14ac:dyDescent="0.35">
      <c r="B335">
        <v>118</v>
      </c>
      <c r="C335" s="8">
        <v>250</v>
      </c>
      <c r="D335" t="s">
        <v>1421</v>
      </c>
      <c r="E335" t="s">
        <v>1233</v>
      </c>
      <c r="F335" t="s">
        <v>1422</v>
      </c>
      <c r="G335" t="s">
        <v>1423</v>
      </c>
      <c r="H335" t="s">
        <v>673</v>
      </c>
      <c r="I335" s="9" t="s">
        <v>1424</v>
      </c>
      <c r="J335" t="s">
        <v>1425</v>
      </c>
    </row>
    <row r="336" spans="2:10" x14ac:dyDescent="0.35">
      <c r="B336">
        <v>117</v>
      </c>
      <c r="C336" s="8">
        <v>500</v>
      </c>
      <c r="D336" t="s">
        <v>1426</v>
      </c>
      <c r="E336" t="s">
        <v>1427</v>
      </c>
      <c r="F336" t="s">
        <v>1428</v>
      </c>
      <c r="G336" t="s">
        <v>1429</v>
      </c>
      <c r="H336" t="s">
        <v>1430</v>
      </c>
      <c r="I336" s="9" t="s">
        <v>1431</v>
      </c>
      <c r="J336" t="s">
        <v>1432</v>
      </c>
    </row>
    <row r="337" spans="2:10" x14ac:dyDescent="0.35">
      <c r="B337">
        <v>116</v>
      </c>
      <c r="C337" s="8">
        <v>2500</v>
      </c>
      <c r="D337" t="s">
        <v>17</v>
      </c>
      <c r="E337" t="s">
        <v>611</v>
      </c>
      <c r="F337" t="s">
        <v>1433</v>
      </c>
      <c r="G337" t="s">
        <v>112</v>
      </c>
      <c r="H337" t="s">
        <v>15</v>
      </c>
      <c r="I337" s="9" t="s">
        <v>113</v>
      </c>
      <c r="J337" t="s">
        <v>1434</v>
      </c>
    </row>
    <row r="338" spans="2:10" x14ac:dyDescent="0.35">
      <c r="B338">
        <v>115</v>
      </c>
      <c r="C338" s="8">
        <v>10000</v>
      </c>
      <c r="D338" t="s">
        <v>94</v>
      </c>
      <c r="E338" t="s">
        <v>1435</v>
      </c>
      <c r="F338" t="s">
        <v>1436</v>
      </c>
      <c r="G338" t="s">
        <v>1437</v>
      </c>
      <c r="H338" t="s">
        <v>15</v>
      </c>
      <c r="I338" s="9" t="s">
        <v>1438</v>
      </c>
      <c r="J338" t="s">
        <v>1439</v>
      </c>
    </row>
    <row r="339" spans="2:10" x14ac:dyDescent="0.35">
      <c r="B339">
        <v>114</v>
      </c>
      <c r="C339" s="8">
        <v>250</v>
      </c>
      <c r="D339" t="s">
        <v>1440</v>
      </c>
      <c r="E339" t="s">
        <v>1254</v>
      </c>
      <c r="F339" t="s">
        <v>1441</v>
      </c>
      <c r="G339" t="s">
        <v>27</v>
      </c>
      <c r="H339" t="s">
        <v>15</v>
      </c>
      <c r="I339" s="9" t="s">
        <v>44</v>
      </c>
      <c r="J339" t="s">
        <v>1235</v>
      </c>
    </row>
    <row r="340" spans="2:10" x14ac:dyDescent="0.35">
      <c r="B340">
        <v>113</v>
      </c>
      <c r="C340" s="8">
        <v>500</v>
      </c>
      <c r="D340" t="s">
        <v>1442</v>
      </c>
      <c r="E340" t="s">
        <v>1443</v>
      </c>
      <c r="F340" t="s">
        <v>1444</v>
      </c>
      <c r="G340" t="s">
        <v>27</v>
      </c>
      <c r="H340" t="s">
        <v>15</v>
      </c>
      <c r="I340" s="9" t="s">
        <v>152</v>
      </c>
      <c r="J340" t="s">
        <v>1445</v>
      </c>
    </row>
    <row r="341" spans="2:10" x14ac:dyDescent="0.35">
      <c r="B341">
        <v>112</v>
      </c>
      <c r="C341" s="8">
        <v>250</v>
      </c>
      <c r="D341" t="s">
        <v>1446</v>
      </c>
      <c r="E341" t="s">
        <v>1447</v>
      </c>
      <c r="F341" t="s">
        <v>1448</v>
      </c>
      <c r="G341" t="s">
        <v>27</v>
      </c>
      <c r="H341" t="s">
        <v>15</v>
      </c>
      <c r="I341" s="9" t="s">
        <v>39</v>
      </c>
      <c r="J341" t="s">
        <v>1449</v>
      </c>
    </row>
    <row r="342" spans="2:10" x14ac:dyDescent="0.35">
      <c r="B342">
        <v>111</v>
      </c>
      <c r="C342" s="8">
        <v>2500</v>
      </c>
      <c r="D342" t="s">
        <v>1313</v>
      </c>
      <c r="E342" t="s">
        <v>1450</v>
      </c>
      <c r="F342" t="s">
        <v>1451</v>
      </c>
      <c r="G342" t="s">
        <v>27</v>
      </c>
      <c r="H342" t="s">
        <v>15</v>
      </c>
      <c r="I342" s="9" t="s">
        <v>74</v>
      </c>
      <c r="J342" t="s">
        <v>1452</v>
      </c>
    </row>
    <row r="343" spans="2:10" x14ac:dyDescent="0.35">
      <c r="B343">
        <v>110</v>
      </c>
      <c r="C343" s="8">
        <v>5000</v>
      </c>
      <c r="D343" t="s">
        <v>36</v>
      </c>
      <c r="E343" t="s">
        <v>855</v>
      </c>
      <c r="F343" t="s">
        <v>1453</v>
      </c>
      <c r="G343" t="s">
        <v>27</v>
      </c>
      <c r="H343" t="s">
        <v>15</v>
      </c>
      <c r="I343" s="9" t="s">
        <v>89</v>
      </c>
      <c r="J343" t="s">
        <v>1454</v>
      </c>
    </row>
    <row r="344" spans="2:10" x14ac:dyDescent="0.35">
      <c r="B344">
        <v>109</v>
      </c>
      <c r="C344" s="8">
        <v>250</v>
      </c>
      <c r="D344" t="s">
        <v>11</v>
      </c>
      <c r="E344" t="s">
        <v>47</v>
      </c>
      <c r="F344" t="s">
        <v>1455</v>
      </c>
      <c r="G344" t="s">
        <v>27</v>
      </c>
      <c r="H344" t="s">
        <v>15</v>
      </c>
      <c r="I344" s="9" t="s">
        <v>127</v>
      </c>
      <c r="J344" t="s">
        <v>1456</v>
      </c>
    </row>
    <row r="345" spans="2:10" x14ac:dyDescent="0.35">
      <c r="B345">
        <v>108</v>
      </c>
      <c r="C345" s="8">
        <v>1000</v>
      </c>
      <c r="D345" t="s">
        <v>1457</v>
      </c>
      <c r="E345" t="s">
        <v>637</v>
      </c>
      <c r="F345" t="s">
        <v>1458</v>
      </c>
      <c r="G345" t="s">
        <v>1459</v>
      </c>
      <c r="H345" t="s">
        <v>9</v>
      </c>
      <c r="I345" s="9" t="s">
        <v>1460</v>
      </c>
      <c r="J345" t="s">
        <v>1461</v>
      </c>
    </row>
    <row r="346" spans="2:10" x14ac:dyDescent="0.35">
      <c r="B346">
        <v>107</v>
      </c>
      <c r="C346" s="8">
        <v>250</v>
      </c>
      <c r="D346" t="s">
        <v>1462</v>
      </c>
      <c r="E346" t="s">
        <v>1463</v>
      </c>
      <c r="F346" t="s">
        <v>1464</v>
      </c>
      <c r="G346" t="s">
        <v>27</v>
      </c>
      <c r="H346" t="s">
        <v>15</v>
      </c>
      <c r="I346" s="9" t="s">
        <v>44</v>
      </c>
      <c r="J346" t="s">
        <v>1465</v>
      </c>
    </row>
    <row r="347" spans="2:10" x14ac:dyDescent="0.35">
      <c r="B347">
        <v>106</v>
      </c>
      <c r="C347" s="8">
        <v>500</v>
      </c>
      <c r="D347" t="s">
        <v>1466</v>
      </c>
      <c r="E347" t="s">
        <v>1467</v>
      </c>
      <c r="F347" t="s">
        <v>1468</v>
      </c>
      <c r="G347" t="s">
        <v>27</v>
      </c>
      <c r="H347" t="s">
        <v>15</v>
      </c>
      <c r="I347" s="9" t="s">
        <v>39</v>
      </c>
      <c r="J347" t="s">
        <v>1469</v>
      </c>
    </row>
    <row r="348" spans="2:10" x14ac:dyDescent="0.35">
      <c r="B348">
        <v>105</v>
      </c>
      <c r="C348" s="8">
        <v>1000</v>
      </c>
      <c r="D348" t="s">
        <v>62</v>
      </c>
      <c r="E348" t="s">
        <v>1470</v>
      </c>
      <c r="F348" t="s">
        <v>1471</v>
      </c>
      <c r="G348" t="s">
        <v>27</v>
      </c>
      <c r="H348" t="s">
        <v>15</v>
      </c>
      <c r="I348" s="9" t="s">
        <v>44</v>
      </c>
      <c r="J348" t="s">
        <v>1357</v>
      </c>
    </row>
    <row r="349" spans="2:10" x14ac:dyDescent="0.35">
      <c r="B349">
        <v>104</v>
      </c>
      <c r="C349" s="8">
        <v>1000</v>
      </c>
      <c r="D349" t="s">
        <v>1472</v>
      </c>
      <c r="E349" t="s">
        <v>1473</v>
      </c>
      <c r="F349" t="s">
        <v>1474</v>
      </c>
      <c r="G349" t="s">
        <v>1475</v>
      </c>
      <c r="H349" t="s">
        <v>429</v>
      </c>
      <c r="I349" s="9" t="s">
        <v>1476</v>
      </c>
      <c r="J349" t="s">
        <v>1477</v>
      </c>
    </row>
    <row r="350" spans="2:10" x14ac:dyDescent="0.35">
      <c r="B350">
        <v>103</v>
      </c>
      <c r="C350" s="8">
        <v>2500</v>
      </c>
      <c r="D350" t="s">
        <v>1478</v>
      </c>
      <c r="E350" t="s">
        <v>898</v>
      </c>
      <c r="F350" t="s">
        <v>1479</v>
      </c>
      <c r="G350" t="s">
        <v>335</v>
      </c>
      <c r="H350" t="s">
        <v>9</v>
      </c>
      <c r="I350" s="9" t="s">
        <v>1480</v>
      </c>
      <c r="J350" t="s">
        <v>1481</v>
      </c>
    </row>
    <row r="351" spans="2:10" x14ac:dyDescent="0.35">
      <c r="B351">
        <v>102</v>
      </c>
      <c r="C351" s="8">
        <v>10000</v>
      </c>
      <c r="D351" t="s">
        <v>1195</v>
      </c>
      <c r="E351" t="s">
        <v>638</v>
      </c>
      <c r="F351" t="s">
        <v>1482</v>
      </c>
      <c r="G351" t="s">
        <v>186</v>
      </c>
      <c r="H351" t="s">
        <v>15</v>
      </c>
      <c r="I351" s="9" t="s">
        <v>187</v>
      </c>
      <c r="J351" t="s">
        <v>1483</v>
      </c>
    </row>
    <row r="352" spans="2:10" x14ac:dyDescent="0.35">
      <c r="B352">
        <v>101</v>
      </c>
      <c r="C352" s="8">
        <v>500</v>
      </c>
      <c r="D352" t="s">
        <v>712</v>
      </c>
      <c r="E352" t="s">
        <v>25</v>
      </c>
      <c r="F352" t="s">
        <v>1484</v>
      </c>
      <c r="G352" t="s">
        <v>1173</v>
      </c>
      <c r="H352" t="s">
        <v>9</v>
      </c>
      <c r="I352" s="9" t="s">
        <v>1174</v>
      </c>
      <c r="J352" t="s">
        <v>1485</v>
      </c>
    </row>
    <row r="353" spans="2:10" x14ac:dyDescent="0.35">
      <c r="B353">
        <v>100</v>
      </c>
      <c r="C353" s="8">
        <v>250</v>
      </c>
      <c r="D353" t="s">
        <v>1209</v>
      </c>
      <c r="E353" t="s">
        <v>1486</v>
      </c>
      <c r="F353" t="s">
        <v>1487</v>
      </c>
      <c r="G353" t="s">
        <v>1488</v>
      </c>
      <c r="H353" t="s">
        <v>15</v>
      </c>
      <c r="I353" s="9" t="s">
        <v>1489</v>
      </c>
      <c r="J353" t="s">
        <v>1490</v>
      </c>
    </row>
    <row r="354" spans="2:10" x14ac:dyDescent="0.35">
      <c r="B354">
        <v>99</v>
      </c>
      <c r="C354" s="8">
        <v>500</v>
      </c>
      <c r="D354" t="s">
        <v>781</v>
      </c>
      <c r="E354" t="s">
        <v>1491</v>
      </c>
      <c r="F354" t="s">
        <v>1492</v>
      </c>
      <c r="G354" t="s">
        <v>1493</v>
      </c>
      <c r="H354" t="s">
        <v>15</v>
      </c>
      <c r="I354" s="9" t="s">
        <v>1494</v>
      </c>
      <c r="J354" t="s">
        <v>1495</v>
      </c>
    </row>
    <row r="355" spans="2:10" x14ac:dyDescent="0.35">
      <c r="B355">
        <v>98</v>
      </c>
      <c r="C355" s="8">
        <v>2500</v>
      </c>
      <c r="D355" t="s">
        <v>1496</v>
      </c>
      <c r="E355" t="s">
        <v>1497</v>
      </c>
      <c r="F355" t="s">
        <v>1498</v>
      </c>
      <c r="G355" t="s">
        <v>452</v>
      </c>
      <c r="H355" t="s">
        <v>15</v>
      </c>
      <c r="I355" s="9" t="s">
        <v>453</v>
      </c>
      <c r="J355" t="s">
        <v>1499</v>
      </c>
    </row>
    <row r="356" spans="2:10" x14ac:dyDescent="0.35">
      <c r="B356">
        <v>97</v>
      </c>
      <c r="C356" s="8">
        <v>250</v>
      </c>
      <c r="D356" t="s">
        <v>1500</v>
      </c>
      <c r="E356" t="s">
        <v>1501</v>
      </c>
      <c r="F356" t="s">
        <v>1502</v>
      </c>
      <c r="G356" t="s">
        <v>112</v>
      </c>
      <c r="H356" t="s">
        <v>15</v>
      </c>
      <c r="I356" s="9" t="s">
        <v>113</v>
      </c>
      <c r="J356" t="s">
        <v>1503</v>
      </c>
    </row>
    <row r="357" spans="2:10" x14ac:dyDescent="0.35">
      <c r="B357">
        <v>96</v>
      </c>
      <c r="C357" s="8">
        <v>250</v>
      </c>
      <c r="D357" t="s">
        <v>655</v>
      </c>
      <c r="E357" t="s">
        <v>1504</v>
      </c>
      <c r="F357" t="s">
        <v>1505</v>
      </c>
      <c r="G357" t="s">
        <v>27</v>
      </c>
      <c r="H357" t="s">
        <v>15</v>
      </c>
      <c r="I357" s="9" t="s">
        <v>39</v>
      </c>
      <c r="J357" t="s">
        <v>1506</v>
      </c>
    </row>
    <row r="358" spans="2:10" x14ac:dyDescent="0.35">
      <c r="B358">
        <v>95</v>
      </c>
      <c r="C358" s="8">
        <v>500</v>
      </c>
      <c r="D358" t="s">
        <v>1507</v>
      </c>
      <c r="E358" t="s">
        <v>1508</v>
      </c>
      <c r="F358" t="s">
        <v>1509</v>
      </c>
      <c r="G358" t="s">
        <v>27</v>
      </c>
      <c r="H358" t="s">
        <v>15</v>
      </c>
      <c r="I358" s="9" t="s">
        <v>65</v>
      </c>
      <c r="J358" t="s">
        <v>524</v>
      </c>
    </row>
    <row r="359" spans="2:10" x14ac:dyDescent="0.35">
      <c r="B359">
        <v>94</v>
      </c>
      <c r="C359" s="8">
        <v>5000</v>
      </c>
      <c r="D359" t="s">
        <v>1510</v>
      </c>
      <c r="E359" t="s">
        <v>1511</v>
      </c>
      <c r="F359" t="s">
        <v>1512</v>
      </c>
      <c r="G359" t="s">
        <v>1271</v>
      </c>
      <c r="H359" t="s">
        <v>15</v>
      </c>
      <c r="I359" s="9" t="s">
        <v>1272</v>
      </c>
      <c r="J359" t="s">
        <v>1513</v>
      </c>
    </row>
    <row r="360" spans="2:10" x14ac:dyDescent="0.35">
      <c r="B360">
        <v>93</v>
      </c>
      <c r="C360" s="8">
        <v>250</v>
      </c>
      <c r="D360" t="s">
        <v>1514</v>
      </c>
      <c r="E360" t="s">
        <v>1515</v>
      </c>
      <c r="F360" t="s">
        <v>1516</v>
      </c>
      <c r="G360" t="s">
        <v>1517</v>
      </c>
      <c r="H360" t="s">
        <v>673</v>
      </c>
      <c r="I360" s="9" t="s">
        <v>1518</v>
      </c>
      <c r="J360" t="s">
        <v>1519</v>
      </c>
    </row>
    <row r="361" spans="2:10" x14ac:dyDescent="0.35">
      <c r="B361">
        <v>92</v>
      </c>
      <c r="C361" s="8">
        <v>250</v>
      </c>
      <c r="D361" t="s">
        <v>1520</v>
      </c>
      <c r="E361" t="s">
        <v>1521</v>
      </c>
      <c r="F361" t="s">
        <v>1522</v>
      </c>
      <c r="G361" t="s">
        <v>1197</v>
      </c>
      <c r="H361" t="s">
        <v>1198</v>
      </c>
      <c r="I361" s="9" t="s">
        <v>1523</v>
      </c>
      <c r="J361" t="s">
        <v>1524</v>
      </c>
    </row>
    <row r="362" spans="2:10" x14ac:dyDescent="0.35">
      <c r="B362">
        <v>91</v>
      </c>
      <c r="C362" s="8">
        <v>500</v>
      </c>
      <c r="D362" t="s">
        <v>1525</v>
      </c>
      <c r="E362" t="s">
        <v>1526</v>
      </c>
      <c r="F362" t="s">
        <v>1527</v>
      </c>
      <c r="G362" t="s">
        <v>1528</v>
      </c>
      <c r="H362" t="s">
        <v>133</v>
      </c>
      <c r="I362" s="9" t="s">
        <v>1529</v>
      </c>
      <c r="J362" t="s">
        <v>1530</v>
      </c>
    </row>
    <row r="363" spans="2:10" x14ac:dyDescent="0.35">
      <c r="B363">
        <v>90</v>
      </c>
      <c r="C363" s="8">
        <v>250</v>
      </c>
      <c r="D363" t="s">
        <v>82</v>
      </c>
      <c r="E363" t="s">
        <v>1531</v>
      </c>
      <c r="F363" t="s">
        <v>1532</v>
      </c>
      <c r="G363" t="s">
        <v>1533</v>
      </c>
      <c r="H363" t="s">
        <v>133</v>
      </c>
      <c r="I363" s="9" t="s">
        <v>1534</v>
      </c>
      <c r="J363" t="s">
        <v>1535</v>
      </c>
    </row>
    <row r="364" spans="2:10" x14ac:dyDescent="0.35">
      <c r="B364">
        <v>89</v>
      </c>
      <c r="C364" s="8">
        <v>250</v>
      </c>
      <c r="D364" t="s">
        <v>1472</v>
      </c>
      <c r="E364" t="s">
        <v>705</v>
      </c>
      <c r="F364" t="s">
        <v>1536</v>
      </c>
      <c r="G364" t="s">
        <v>264</v>
      </c>
      <c r="H364" t="s">
        <v>15</v>
      </c>
      <c r="I364" s="9" t="s">
        <v>265</v>
      </c>
      <c r="J364" t="s">
        <v>1537</v>
      </c>
    </row>
    <row r="365" spans="2:10" x14ac:dyDescent="0.35">
      <c r="B365">
        <v>88</v>
      </c>
      <c r="C365" s="8">
        <v>500</v>
      </c>
      <c r="D365" t="s">
        <v>1538</v>
      </c>
      <c r="E365" t="s">
        <v>1539</v>
      </c>
      <c r="F365" t="s">
        <v>1540</v>
      </c>
      <c r="G365" t="s">
        <v>27</v>
      </c>
      <c r="H365" t="s">
        <v>15</v>
      </c>
      <c r="I365" s="9" t="s">
        <v>413</v>
      </c>
      <c r="J365" t="s">
        <v>1541</v>
      </c>
    </row>
    <row r="366" spans="2:10" x14ac:dyDescent="0.35">
      <c r="B366">
        <v>87</v>
      </c>
      <c r="C366" s="8">
        <v>1000</v>
      </c>
      <c r="D366" t="s">
        <v>17</v>
      </c>
      <c r="E366" t="s">
        <v>47</v>
      </c>
      <c r="F366" t="s">
        <v>1542</v>
      </c>
      <c r="G366" t="s">
        <v>27</v>
      </c>
      <c r="H366" t="s">
        <v>15</v>
      </c>
      <c r="I366" s="9" t="s">
        <v>39</v>
      </c>
      <c r="J366" t="s">
        <v>1543</v>
      </c>
    </row>
    <row r="367" spans="2:10" x14ac:dyDescent="0.35">
      <c r="B367">
        <v>86</v>
      </c>
      <c r="C367" s="8">
        <v>250000</v>
      </c>
      <c r="D367" t="s">
        <v>1544</v>
      </c>
      <c r="E367" t="s">
        <v>1545</v>
      </c>
      <c r="F367" t="s">
        <v>1546</v>
      </c>
      <c r="G367" t="s">
        <v>1547</v>
      </c>
      <c r="H367" t="s">
        <v>423</v>
      </c>
      <c r="I367" s="9" t="s">
        <v>1548</v>
      </c>
      <c r="J367" t="s">
        <v>1549</v>
      </c>
    </row>
    <row r="368" spans="2:10" x14ac:dyDescent="0.35">
      <c r="B368">
        <v>85</v>
      </c>
      <c r="C368" s="8">
        <v>250</v>
      </c>
      <c r="D368" t="s">
        <v>1550</v>
      </c>
      <c r="E368" t="s">
        <v>1322</v>
      </c>
      <c r="F368" t="s">
        <v>1551</v>
      </c>
      <c r="G368" t="s">
        <v>27</v>
      </c>
      <c r="H368" t="s">
        <v>15</v>
      </c>
      <c r="I368" s="9" t="s">
        <v>44</v>
      </c>
      <c r="J368" t="s">
        <v>90</v>
      </c>
    </row>
    <row r="369" spans="2:10" x14ac:dyDescent="0.35">
      <c r="B369">
        <v>84</v>
      </c>
      <c r="C369" s="8">
        <v>250</v>
      </c>
      <c r="D369" t="s">
        <v>17</v>
      </c>
      <c r="E369" t="s">
        <v>1552</v>
      </c>
      <c r="F369" t="s">
        <v>1553</v>
      </c>
      <c r="G369" t="s">
        <v>27</v>
      </c>
      <c r="H369" t="s">
        <v>15</v>
      </c>
      <c r="I369" s="9" t="s">
        <v>89</v>
      </c>
      <c r="J369" t="s">
        <v>1554</v>
      </c>
    </row>
    <row r="370" spans="2:10" x14ac:dyDescent="0.35">
      <c r="B370">
        <v>83</v>
      </c>
      <c r="C370" s="8">
        <v>250</v>
      </c>
      <c r="D370" t="s">
        <v>676</v>
      </c>
      <c r="E370" t="s">
        <v>125</v>
      </c>
      <c r="F370" t="s">
        <v>1555</v>
      </c>
      <c r="G370" t="s">
        <v>27</v>
      </c>
      <c r="H370" t="s">
        <v>15</v>
      </c>
      <c r="I370" s="9" t="s">
        <v>28</v>
      </c>
      <c r="J370" t="s">
        <v>1556</v>
      </c>
    </row>
    <row r="371" spans="2:10" x14ac:dyDescent="0.35">
      <c r="B371">
        <v>82</v>
      </c>
      <c r="C371" s="8">
        <v>250</v>
      </c>
      <c r="D371" t="s">
        <v>1557</v>
      </c>
      <c r="E371" t="s">
        <v>1558</v>
      </c>
      <c r="F371" t="s">
        <v>1559</v>
      </c>
      <c r="G371" t="s">
        <v>27</v>
      </c>
      <c r="H371" t="s">
        <v>15</v>
      </c>
      <c r="I371" s="9" t="s">
        <v>39</v>
      </c>
      <c r="J371" t="s">
        <v>1560</v>
      </c>
    </row>
    <row r="372" spans="2:10" x14ac:dyDescent="0.35">
      <c r="B372">
        <v>81</v>
      </c>
      <c r="C372" s="8">
        <v>500</v>
      </c>
      <c r="D372" t="s">
        <v>1561</v>
      </c>
      <c r="E372" t="s">
        <v>1562</v>
      </c>
      <c r="F372" t="s">
        <v>1563</v>
      </c>
      <c r="G372" t="s">
        <v>27</v>
      </c>
      <c r="H372" t="s">
        <v>15</v>
      </c>
      <c r="I372" s="9" t="s">
        <v>65</v>
      </c>
      <c r="J372" t="s">
        <v>1564</v>
      </c>
    </row>
    <row r="373" spans="2:10" x14ac:dyDescent="0.35">
      <c r="B373">
        <v>80</v>
      </c>
      <c r="C373" s="8">
        <v>500</v>
      </c>
      <c r="D373" t="s">
        <v>1565</v>
      </c>
      <c r="E373" t="s">
        <v>1566</v>
      </c>
      <c r="F373" t="s">
        <v>1567</v>
      </c>
      <c r="G373" t="s">
        <v>1568</v>
      </c>
      <c r="H373" t="s">
        <v>15</v>
      </c>
      <c r="I373" s="9" t="s">
        <v>1569</v>
      </c>
      <c r="J373" t="s">
        <v>1570</v>
      </c>
    </row>
    <row r="374" spans="2:10" x14ac:dyDescent="0.35">
      <c r="B374">
        <v>79</v>
      </c>
      <c r="C374" s="8">
        <v>500</v>
      </c>
      <c r="D374" t="s">
        <v>62</v>
      </c>
      <c r="E374" t="s">
        <v>1571</v>
      </c>
      <c r="F374" t="s">
        <v>1572</v>
      </c>
      <c r="G374" t="s">
        <v>27</v>
      </c>
      <c r="H374" t="s">
        <v>15</v>
      </c>
      <c r="I374" s="9" t="s">
        <v>28</v>
      </c>
      <c r="J374" t="s">
        <v>1573</v>
      </c>
    </row>
    <row r="375" spans="2:10" x14ac:dyDescent="0.35">
      <c r="B375">
        <v>78</v>
      </c>
      <c r="C375" s="8">
        <v>1000</v>
      </c>
      <c r="D375" t="s">
        <v>1574</v>
      </c>
      <c r="E375" t="s">
        <v>1575</v>
      </c>
      <c r="F375" t="s">
        <v>1576</v>
      </c>
      <c r="G375" t="s">
        <v>27</v>
      </c>
      <c r="H375" t="s">
        <v>15</v>
      </c>
      <c r="I375" s="9" t="s">
        <v>54</v>
      </c>
      <c r="J375" t="s">
        <v>1577</v>
      </c>
    </row>
    <row r="376" spans="2:10" x14ac:dyDescent="0.35">
      <c r="B376">
        <v>77</v>
      </c>
      <c r="C376" s="8">
        <v>250</v>
      </c>
      <c r="D376" t="s">
        <v>321</v>
      </c>
      <c r="E376" t="s">
        <v>1578</v>
      </c>
      <c r="F376" t="s">
        <v>1579</v>
      </c>
      <c r="G376" t="s">
        <v>27</v>
      </c>
      <c r="H376" t="s">
        <v>15</v>
      </c>
      <c r="I376" s="9" t="s">
        <v>152</v>
      </c>
      <c r="J376" t="s">
        <v>1580</v>
      </c>
    </row>
    <row r="377" spans="2:10" x14ac:dyDescent="0.35">
      <c r="B377">
        <v>76</v>
      </c>
      <c r="C377" s="8">
        <v>500</v>
      </c>
      <c r="D377" t="s">
        <v>1581</v>
      </c>
      <c r="E377" t="s">
        <v>1582</v>
      </c>
      <c r="F377" t="s">
        <v>1583</v>
      </c>
      <c r="G377" t="s">
        <v>1584</v>
      </c>
      <c r="H377" t="s">
        <v>921</v>
      </c>
      <c r="I377" s="9" t="s">
        <v>1585</v>
      </c>
      <c r="J377" t="s">
        <v>1586</v>
      </c>
    </row>
    <row r="378" spans="2:10" x14ac:dyDescent="0.35">
      <c r="B378">
        <v>75</v>
      </c>
      <c r="C378" s="8">
        <v>500</v>
      </c>
      <c r="D378" t="s">
        <v>407</v>
      </c>
      <c r="E378" t="s">
        <v>1587</v>
      </c>
      <c r="F378" t="s">
        <v>1588</v>
      </c>
      <c r="G378" t="s">
        <v>889</v>
      </c>
      <c r="H378" t="s">
        <v>9</v>
      </c>
      <c r="I378" s="9" t="s">
        <v>890</v>
      </c>
      <c r="J378" t="s">
        <v>1589</v>
      </c>
    </row>
    <row r="379" spans="2:10" x14ac:dyDescent="0.35">
      <c r="B379">
        <v>74</v>
      </c>
      <c r="C379" s="8">
        <v>250</v>
      </c>
      <c r="D379" t="s">
        <v>36</v>
      </c>
      <c r="E379" t="s">
        <v>1590</v>
      </c>
      <c r="F379" t="s">
        <v>1591</v>
      </c>
      <c r="G379" t="s">
        <v>186</v>
      </c>
      <c r="H379" t="s">
        <v>15</v>
      </c>
      <c r="I379" s="9" t="s">
        <v>187</v>
      </c>
      <c r="J379" t="s">
        <v>1592</v>
      </c>
    </row>
    <row r="380" spans="2:10" x14ac:dyDescent="0.35">
      <c r="B380">
        <v>73</v>
      </c>
      <c r="C380" s="8">
        <v>250</v>
      </c>
      <c r="D380" t="s">
        <v>77</v>
      </c>
      <c r="E380" t="s">
        <v>1593</v>
      </c>
      <c r="F380" t="s">
        <v>1594</v>
      </c>
      <c r="G380" t="s">
        <v>186</v>
      </c>
      <c r="H380" t="s">
        <v>15</v>
      </c>
      <c r="I380" s="9" t="s">
        <v>187</v>
      </c>
      <c r="J380" t="s">
        <v>1595</v>
      </c>
    </row>
    <row r="381" spans="2:10" x14ac:dyDescent="0.35">
      <c r="B381">
        <v>72</v>
      </c>
      <c r="C381" s="8">
        <v>250</v>
      </c>
      <c r="D381" t="s">
        <v>610</v>
      </c>
      <c r="E381" t="s">
        <v>1596</v>
      </c>
      <c r="F381" t="s">
        <v>1597</v>
      </c>
      <c r="G381" t="s">
        <v>27</v>
      </c>
      <c r="H381" t="s">
        <v>15</v>
      </c>
      <c r="I381" s="9" t="s">
        <v>49</v>
      </c>
      <c r="J381" t="s">
        <v>1598</v>
      </c>
    </row>
    <row r="382" spans="2:10" x14ac:dyDescent="0.35">
      <c r="B382">
        <v>71</v>
      </c>
      <c r="C382" s="8">
        <v>10000</v>
      </c>
      <c r="D382" t="s">
        <v>1599</v>
      </c>
      <c r="E382" t="s">
        <v>47</v>
      </c>
      <c r="F382" t="s">
        <v>1600</v>
      </c>
      <c r="G382" t="s">
        <v>27</v>
      </c>
      <c r="H382" t="s">
        <v>15</v>
      </c>
      <c r="I382" s="9" t="s">
        <v>292</v>
      </c>
      <c r="J382" t="s">
        <v>1601</v>
      </c>
    </row>
    <row r="383" spans="2:10" x14ac:dyDescent="0.35">
      <c r="B383">
        <v>70</v>
      </c>
      <c r="C383" s="8">
        <v>1000</v>
      </c>
      <c r="D383" t="s">
        <v>1602</v>
      </c>
      <c r="E383" t="s">
        <v>1590</v>
      </c>
      <c r="F383" t="s">
        <v>1603</v>
      </c>
      <c r="G383" t="s">
        <v>452</v>
      </c>
      <c r="H383" t="s">
        <v>15</v>
      </c>
      <c r="I383" s="9" t="s">
        <v>453</v>
      </c>
      <c r="J383" t="s">
        <v>1604</v>
      </c>
    </row>
    <row r="384" spans="2:10" x14ac:dyDescent="0.35">
      <c r="B384">
        <v>69</v>
      </c>
      <c r="C384" s="8">
        <v>250</v>
      </c>
      <c r="D384" t="s">
        <v>1605</v>
      </c>
      <c r="E384" t="s">
        <v>1269</v>
      </c>
      <c r="F384" t="s">
        <v>1606</v>
      </c>
      <c r="G384" t="s">
        <v>1607</v>
      </c>
      <c r="H384" t="s">
        <v>15</v>
      </c>
      <c r="I384" s="9" t="s">
        <v>1608</v>
      </c>
      <c r="J384" t="s">
        <v>1609</v>
      </c>
    </row>
    <row r="385" spans="2:10" x14ac:dyDescent="0.35">
      <c r="B385">
        <v>68</v>
      </c>
      <c r="C385" s="8">
        <v>1000</v>
      </c>
      <c r="D385" t="s">
        <v>655</v>
      </c>
      <c r="E385" t="s">
        <v>1610</v>
      </c>
      <c r="F385" t="s">
        <v>1611</v>
      </c>
      <c r="G385" t="s">
        <v>27</v>
      </c>
      <c r="H385" t="s">
        <v>15</v>
      </c>
      <c r="I385" s="9" t="s">
        <v>54</v>
      </c>
      <c r="J385" t="s">
        <v>1612</v>
      </c>
    </row>
    <row r="386" spans="2:10" x14ac:dyDescent="0.35">
      <c r="B386">
        <v>67</v>
      </c>
      <c r="C386" s="8">
        <v>500</v>
      </c>
      <c r="D386" t="s">
        <v>1613</v>
      </c>
      <c r="E386" t="s">
        <v>1614</v>
      </c>
      <c r="F386" t="s">
        <v>1615</v>
      </c>
      <c r="G386" t="s">
        <v>186</v>
      </c>
      <c r="H386" t="s">
        <v>15</v>
      </c>
      <c r="I386" s="9" t="s">
        <v>187</v>
      </c>
      <c r="J386" t="s">
        <v>1616</v>
      </c>
    </row>
    <row r="387" spans="2:10" x14ac:dyDescent="0.35">
      <c r="B387">
        <v>66</v>
      </c>
      <c r="C387" s="8">
        <v>500</v>
      </c>
      <c r="D387" t="s">
        <v>1387</v>
      </c>
      <c r="E387" t="s">
        <v>1617</v>
      </c>
      <c r="F387" t="s">
        <v>1618</v>
      </c>
      <c r="G387" t="s">
        <v>1619</v>
      </c>
      <c r="H387" t="s">
        <v>1169</v>
      </c>
      <c r="I387" s="9" t="s">
        <v>1620</v>
      </c>
      <c r="J387" t="s">
        <v>1621</v>
      </c>
    </row>
    <row r="388" spans="2:10" x14ac:dyDescent="0.35">
      <c r="B388">
        <v>65</v>
      </c>
      <c r="C388" s="8">
        <v>500</v>
      </c>
      <c r="D388" t="s">
        <v>1622</v>
      </c>
      <c r="E388" t="s">
        <v>1623</v>
      </c>
      <c r="F388" t="s">
        <v>1624</v>
      </c>
      <c r="G388" t="s">
        <v>59</v>
      </c>
      <c r="H388" t="s">
        <v>15</v>
      </c>
      <c r="I388" s="9" t="s">
        <v>60</v>
      </c>
      <c r="J388" t="s">
        <v>1625</v>
      </c>
    </row>
    <row r="389" spans="2:10" x14ac:dyDescent="0.35">
      <c r="B389">
        <v>64</v>
      </c>
      <c r="C389" s="8">
        <v>1000</v>
      </c>
      <c r="D389" t="s">
        <v>419</v>
      </c>
      <c r="E389" t="s">
        <v>1626</v>
      </c>
      <c r="F389" t="s">
        <v>1627</v>
      </c>
      <c r="G389" t="s">
        <v>27</v>
      </c>
      <c r="H389" t="s">
        <v>15</v>
      </c>
      <c r="I389" s="9" t="s">
        <v>89</v>
      </c>
      <c r="J389" t="s">
        <v>1628</v>
      </c>
    </row>
    <row r="390" spans="2:10" x14ac:dyDescent="0.35">
      <c r="B390">
        <v>63</v>
      </c>
      <c r="C390" s="8">
        <v>2500</v>
      </c>
      <c r="D390" t="s">
        <v>1037</v>
      </c>
      <c r="E390" t="s">
        <v>1629</v>
      </c>
      <c r="F390" t="s">
        <v>1630</v>
      </c>
      <c r="G390" t="s">
        <v>889</v>
      </c>
      <c r="H390" t="s">
        <v>9</v>
      </c>
      <c r="I390" s="9" t="s">
        <v>1631</v>
      </c>
      <c r="J390" t="s">
        <v>1632</v>
      </c>
    </row>
    <row r="391" spans="2:10" x14ac:dyDescent="0.35">
      <c r="B391">
        <v>62</v>
      </c>
      <c r="C391" s="8">
        <v>250</v>
      </c>
      <c r="D391" t="s">
        <v>1633</v>
      </c>
      <c r="E391" t="s">
        <v>1437</v>
      </c>
      <c r="F391" t="s">
        <v>1634</v>
      </c>
      <c r="G391" t="s">
        <v>1635</v>
      </c>
      <c r="H391" t="s">
        <v>15</v>
      </c>
      <c r="I391" s="9" t="s">
        <v>1636</v>
      </c>
      <c r="J391" t="s">
        <v>1637</v>
      </c>
    </row>
    <row r="392" spans="2:10" x14ac:dyDescent="0.35">
      <c r="B392">
        <v>61</v>
      </c>
      <c r="C392" s="8">
        <v>250</v>
      </c>
      <c r="D392" t="s">
        <v>1638</v>
      </c>
      <c r="E392" t="s">
        <v>1639</v>
      </c>
      <c r="F392" t="s">
        <v>1640</v>
      </c>
      <c r="G392" t="s">
        <v>679</v>
      </c>
      <c r="H392" t="s">
        <v>15</v>
      </c>
      <c r="I392" s="9" t="s">
        <v>680</v>
      </c>
      <c r="J392" t="s">
        <v>1641</v>
      </c>
    </row>
    <row r="393" spans="2:10" x14ac:dyDescent="0.35">
      <c r="B393">
        <v>60</v>
      </c>
      <c r="C393" s="8">
        <v>500</v>
      </c>
      <c r="D393" t="s">
        <v>439</v>
      </c>
      <c r="E393" t="s">
        <v>1642</v>
      </c>
      <c r="F393" t="s">
        <v>1643</v>
      </c>
      <c r="G393" t="s">
        <v>27</v>
      </c>
      <c r="H393" t="s">
        <v>15</v>
      </c>
      <c r="I393" s="9" t="s">
        <v>405</v>
      </c>
      <c r="J393" t="s">
        <v>1644</v>
      </c>
    </row>
    <row r="394" spans="2:10" x14ac:dyDescent="0.35">
      <c r="B394">
        <v>59</v>
      </c>
      <c r="C394" s="8">
        <v>500</v>
      </c>
      <c r="D394" t="s">
        <v>725</v>
      </c>
      <c r="E394" t="s">
        <v>1645</v>
      </c>
      <c r="F394" t="s">
        <v>1646</v>
      </c>
      <c r="G394" t="s">
        <v>1148</v>
      </c>
      <c r="H394" t="s">
        <v>15</v>
      </c>
      <c r="I394" s="9" t="s">
        <v>1647</v>
      </c>
      <c r="J394" t="s">
        <v>1648</v>
      </c>
    </row>
    <row r="395" spans="2:10" x14ac:dyDescent="0.35">
      <c r="B395">
        <v>58</v>
      </c>
      <c r="C395" s="8">
        <v>1000</v>
      </c>
      <c r="D395" t="s">
        <v>230</v>
      </c>
      <c r="E395" t="s">
        <v>237</v>
      </c>
      <c r="F395" t="s">
        <v>1649</v>
      </c>
      <c r="G395" t="s">
        <v>139</v>
      </c>
      <c r="H395" t="s">
        <v>15</v>
      </c>
      <c r="I395" s="9" t="s">
        <v>140</v>
      </c>
      <c r="J395" t="s">
        <v>1650</v>
      </c>
    </row>
    <row r="396" spans="2:10" x14ac:dyDescent="0.35">
      <c r="B396">
        <v>57</v>
      </c>
      <c r="C396" s="8">
        <v>500</v>
      </c>
      <c r="D396" t="s">
        <v>1651</v>
      </c>
      <c r="E396" t="s">
        <v>1652</v>
      </c>
      <c r="F396" t="s">
        <v>1653</v>
      </c>
      <c r="G396" t="s">
        <v>399</v>
      </c>
      <c r="H396" t="s">
        <v>15</v>
      </c>
      <c r="I396" s="9" t="s">
        <v>400</v>
      </c>
      <c r="J396" t="s">
        <v>1654</v>
      </c>
    </row>
    <row r="397" spans="2:10" x14ac:dyDescent="0.35">
      <c r="B397">
        <v>56</v>
      </c>
      <c r="C397" s="8">
        <v>500</v>
      </c>
      <c r="D397" t="s">
        <v>1313</v>
      </c>
      <c r="E397" t="s">
        <v>125</v>
      </c>
      <c r="F397" t="s">
        <v>1655</v>
      </c>
      <c r="G397" t="s">
        <v>27</v>
      </c>
      <c r="H397" t="s">
        <v>15</v>
      </c>
      <c r="I397" s="9" t="s">
        <v>54</v>
      </c>
      <c r="J397" t="s">
        <v>1656</v>
      </c>
    </row>
    <row r="398" spans="2:10" x14ac:dyDescent="0.35">
      <c r="B398">
        <v>55</v>
      </c>
      <c r="C398" s="8">
        <v>5000</v>
      </c>
      <c r="D398" t="s">
        <v>1657</v>
      </c>
      <c r="E398" t="s">
        <v>1658</v>
      </c>
      <c r="F398" t="s">
        <v>1659</v>
      </c>
      <c r="G398" t="s">
        <v>186</v>
      </c>
      <c r="H398" t="s">
        <v>15</v>
      </c>
      <c r="I398" s="9" t="s">
        <v>187</v>
      </c>
      <c r="J398" t="s">
        <v>1660</v>
      </c>
    </row>
    <row r="399" spans="2:10" x14ac:dyDescent="0.35">
      <c r="B399">
        <v>54</v>
      </c>
      <c r="C399" s="8">
        <v>250</v>
      </c>
      <c r="D399" t="s">
        <v>738</v>
      </c>
      <c r="E399" t="s">
        <v>1661</v>
      </c>
      <c r="F399" t="s">
        <v>1662</v>
      </c>
      <c r="G399" t="s">
        <v>27</v>
      </c>
      <c r="H399" t="s">
        <v>15</v>
      </c>
      <c r="I399" s="9" t="s">
        <v>405</v>
      </c>
      <c r="J399" t="s">
        <v>1663</v>
      </c>
    </row>
    <row r="400" spans="2:10" x14ac:dyDescent="0.35">
      <c r="B400">
        <v>53</v>
      </c>
      <c r="C400" s="8">
        <v>250</v>
      </c>
      <c r="D400" t="s">
        <v>1664</v>
      </c>
      <c r="E400" t="s">
        <v>1665</v>
      </c>
      <c r="F400" t="s">
        <v>1666</v>
      </c>
      <c r="G400" t="s">
        <v>27</v>
      </c>
      <c r="H400" t="s">
        <v>15</v>
      </c>
      <c r="I400" s="9" t="s">
        <v>49</v>
      </c>
      <c r="J400" t="s">
        <v>1667</v>
      </c>
    </row>
    <row r="401" spans="2:10" x14ac:dyDescent="0.35">
      <c r="B401">
        <v>52</v>
      </c>
      <c r="C401" s="8">
        <v>250</v>
      </c>
      <c r="D401" t="s">
        <v>1668</v>
      </c>
      <c r="E401" t="s">
        <v>1669</v>
      </c>
      <c r="F401" t="s">
        <v>1670</v>
      </c>
      <c r="G401" t="s">
        <v>1671</v>
      </c>
      <c r="H401" t="s">
        <v>15</v>
      </c>
      <c r="I401" s="9" t="s">
        <v>1672</v>
      </c>
      <c r="J401" t="s">
        <v>1673</v>
      </c>
    </row>
    <row r="402" spans="2:10" x14ac:dyDescent="0.35">
      <c r="B402">
        <v>51</v>
      </c>
      <c r="C402" s="8">
        <v>1000</v>
      </c>
      <c r="D402" t="s">
        <v>676</v>
      </c>
      <c r="E402" t="s">
        <v>1674</v>
      </c>
      <c r="F402" t="s">
        <v>1675</v>
      </c>
      <c r="G402" t="s">
        <v>1635</v>
      </c>
      <c r="H402" t="s">
        <v>15</v>
      </c>
      <c r="I402" s="9" t="s">
        <v>1636</v>
      </c>
      <c r="J402" t="s">
        <v>1506</v>
      </c>
    </row>
    <row r="403" spans="2:10" x14ac:dyDescent="0.35">
      <c r="B403">
        <v>50</v>
      </c>
      <c r="C403" s="8">
        <v>1000</v>
      </c>
      <c r="D403" t="s">
        <v>1676</v>
      </c>
      <c r="E403" t="s">
        <v>1677</v>
      </c>
      <c r="F403" t="s">
        <v>1678</v>
      </c>
      <c r="G403" t="s">
        <v>1679</v>
      </c>
      <c r="H403" t="s">
        <v>511</v>
      </c>
      <c r="I403" s="9" t="s">
        <v>1680</v>
      </c>
      <c r="J403" t="s">
        <v>1681</v>
      </c>
    </row>
    <row r="404" spans="2:10" x14ac:dyDescent="0.35">
      <c r="B404">
        <v>49</v>
      </c>
      <c r="C404" s="8">
        <v>500</v>
      </c>
      <c r="D404" t="s">
        <v>617</v>
      </c>
      <c r="E404" t="s">
        <v>1682</v>
      </c>
      <c r="F404" t="s">
        <v>1683</v>
      </c>
      <c r="G404" t="s">
        <v>27</v>
      </c>
      <c r="H404" t="s">
        <v>15</v>
      </c>
      <c r="I404" s="9" t="s">
        <v>54</v>
      </c>
      <c r="J404" t="s">
        <v>1684</v>
      </c>
    </row>
    <row r="405" spans="2:10" x14ac:dyDescent="0.35">
      <c r="B405">
        <v>48</v>
      </c>
      <c r="C405" s="8">
        <v>250</v>
      </c>
      <c r="D405" t="s">
        <v>901</v>
      </c>
      <c r="E405" t="s">
        <v>1685</v>
      </c>
      <c r="F405" t="s">
        <v>1686</v>
      </c>
      <c r="G405" t="s">
        <v>1687</v>
      </c>
      <c r="H405" t="s">
        <v>21</v>
      </c>
      <c r="I405" s="9" t="s">
        <v>1688</v>
      </c>
      <c r="J405" t="s">
        <v>1689</v>
      </c>
    </row>
    <row r="406" spans="2:10" x14ac:dyDescent="0.35">
      <c r="B406">
        <v>47</v>
      </c>
      <c r="C406" s="8">
        <v>250</v>
      </c>
      <c r="D406" t="s">
        <v>76</v>
      </c>
      <c r="E406" t="s">
        <v>1144</v>
      </c>
      <c r="F406" t="s">
        <v>1690</v>
      </c>
      <c r="G406" t="s">
        <v>27</v>
      </c>
      <c r="H406" t="s">
        <v>15</v>
      </c>
      <c r="I406" s="9" t="s">
        <v>405</v>
      </c>
      <c r="J406" t="s">
        <v>1691</v>
      </c>
    </row>
    <row r="407" spans="2:10" x14ac:dyDescent="0.35">
      <c r="B407">
        <v>46</v>
      </c>
      <c r="C407" s="8">
        <v>250</v>
      </c>
      <c r="D407" t="s">
        <v>1692</v>
      </c>
      <c r="E407" t="s">
        <v>1693</v>
      </c>
      <c r="F407" t="s">
        <v>1694</v>
      </c>
      <c r="G407" t="s">
        <v>59</v>
      </c>
      <c r="H407" t="s">
        <v>15</v>
      </c>
      <c r="I407" s="9" t="s">
        <v>60</v>
      </c>
      <c r="J407" t="s">
        <v>1695</v>
      </c>
    </row>
    <row r="408" spans="2:10" x14ac:dyDescent="0.35">
      <c r="B408">
        <v>45</v>
      </c>
      <c r="C408" s="8">
        <v>250</v>
      </c>
      <c r="D408" t="s">
        <v>1696</v>
      </c>
      <c r="E408" t="s">
        <v>1697</v>
      </c>
      <c r="F408" t="s">
        <v>1698</v>
      </c>
      <c r="G408" t="s">
        <v>27</v>
      </c>
      <c r="H408" t="s">
        <v>15</v>
      </c>
      <c r="I408" s="9" t="s">
        <v>405</v>
      </c>
      <c r="J408" t="s">
        <v>1699</v>
      </c>
    </row>
    <row r="409" spans="2:10" x14ac:dyDescent="0.35">
      <c r="B409">
        <v>44</v>
      </c>
      <c r="C409" s="8">
        <v>250</v>
      </c>
      <c r="D409" t="s">
        <v>325</v>
      </c>
      <c r="E409" t="s">
        <v>1700</v>
      </c>
      <c r="F409" t="s">
        <v>1701</v>
      </c>
      <c r="G409" t="s">
        <v>1702</v>
      </c>
      <c r="H409" t="s">
        <v>15</v>
      </c>
      <c r="I409" s="9" t="s">
        <v>1703</v>
      </c>
      <c r="J409" t="s">
        <v>1704</v>
      </c>
    </row>
    <row r="410" spans="2:10" x14ac:dyDescent="0.35">
      <c r="B410">
        <v>43</v>
      </c>
      <c r="C410" s="8">
        <v>500</v>
      </c>
      <c r="D410" t="s">
        <v>651</v>
      </c>
      <c r="E410" t="s">
        <v>898</v>
      </c>
      <c r="F410" t="s">
        <v>1705</v>
      </c>
      <c r="G410" t="s">
        <v>335</v>
      </c>
      <c r="H410" t="s">
        <v>9</v>
      </c>
      <c r="I410" s="9" t="s">
        <v>1706</v>
      </c>
      <c r="J410" t="s">
        <v>1707</v>
      </c>
    </row>
    <row r="411" spans="2:10" x14ac:dyDescent="0.35">
      <c r="B411">
        <v>42</v>
      </c>
      <c r="C411" s="8">
        <v>1000</v>
      </c>
      <c r="D411" t="s">
        <v>1209</v>
      </c>
      <c r="E411" t="s">
        <v>746</v>
      </c>
      <c r="F411" t="s">
        <v>1708</v>
      </c>
      <c r="G411" t="s">
        <v>487</v>
      </c>
      <c r="H411" t="s">
        <v>9</v>
      </c>
      <c r="I411" s="9" t="s">
        <v>1709</v>
      </c>
      <c r="J411" t="s">
        <v>1710</v>
      </c>
    </row>
    <row r="412" spans="2:10" x14ac:dyDescent="0.35">
      <c r="B412">
        <v>41</v>
      </c>
      <c r="C412" s="8">
        <v>1000</v>
      </c>
      <c r="D412" t="s">
        <v>1711</v>
      </c>
      <c r="E412" t="s">
        <v>375</v>
      </c>
      <c r="F412" t="s">
        <v>1712</v>
      </c>
      <c r="G412" t="s">
        <v>27</v>
      </c>
      <c r="H412" t="s">
        <v>15</v>
      </c>
      <c r="I412" s="9" t="s">
        <v>54</v>
      </c>
      <c r="J412" t="s">
        <v>1713</v>
      </c>
    </row>
    <row r="413" spans="2:10" x14ac:dyDescent="0.35">
      <c r="B413">
        <v>40</v>
      </c>
      <c r="C413" s="8">
        <v>2500</v>
      </c>
      <c r="D413" t="s">
        <v>729</v>
      </c>
      <c r="E413" t="s">
        <v>1714</v>
      </c>
      <c r="F413" t="s">
        <v>1715</v>
      </c>
      <c r="G413" t="s">
        <v>679</v>
      </c>
      <c r="H413" t="s">
        <v>15</v>
      </c>
      <c r="I413" s="9" t="s">
        <v>680</v>
      </c>
      <c r="J413" t="s">
        <v>1716</v>
      </c>
    </row>
    <row r="414" spans="2:10" x14ac:dyDescent="0.35">
      <c r="B414">
        <v>39</v>
      </c>
      <c r="C414" s="8">
        <v>5000</v>
      </c>
      <c r="D414" t="s">
        <v>1717</v>
      </c>
      <c r="E414" t="s">
        <v>1718</v>
      </c>
      <c r="F414" t="s">
        <v>1719</v>
      </c>
      <c r="G414" t="s">
        <v>27</v>
      </c>
      <c r="H414" t="s">
        <v>15</v>
      </c>
      <c r="I414" s="9" t="s">
        <v>39</v>
      </c>
      <c r="J414" t="s">
        <v>1720</v>
      </c>
    </row>
    <row r="415" spans="2:10" x14ac:dyDescent="0.35">
      <c r="B415">
        <v>38</v>
      </c>
      <c r="C415" s="8">
        <v>250</v>
      </c>
      <c r="D415" t="s">
        <v>676</v>
      </c>
      <c r="E415" t="s">
        <v>1504</v>
      </c>
      <c r="F415" t="s">
        <v>1721</v>
      </c>
      <c r="G415" t="s">
        <v>27</v>
      </c>
      <c r="H415" t="s">
        <v>15</v>
      </c>
      <c r="I415" s="9" t="s">
        <v>89</v>
      </c>
      <c r="J415" t="s">
        <v>1722</v>
      </c>
    </row>
    <row r="416" spans="2:10" x14ac:dyDescent="0.35">
      <c r="B416">
        <v>37</v>
      </c>
      <c r="C416" s="8">
        <v>250</v>
      </c>
      <c r="D416" t="s">
        <v>36</v>
      </c>
      <c r="E416" t="s">
        <v>1723</v>
      </c>
      <c r="F416" t="s">
        <v>1724</v>
      </c>
      <c r="G416" t="s">
        <v>27</v>
      </c>
      <c r="H416" t="s">
        <v>15</v>
      </c>
      <c r="I416" s="9" t="s">
        <v>49</v>
      </c>
      <c r="J416" t="s">
        <v>1725</v>
      </c>
    </row>
    <row r="417" spans="2:10" x14ac:dyDescent="0.35">
      <c r="B417">
        <v>36</v>
      </c>
      <c r="C417" s="8">
        <v>500</v>
      </c>
      <c r="D417" t="s">
        <v>1726</v>
      </c>
      <c r="E417" t="s">
        <v>898</v>
      </c>
      <c r="F417" t="s">
        <v>1727</v>
      </c>
      <c r="G417" t="s">
        <v>27</v>
      </c>
      <c r="H417" t="s">
        <v>15</v>
      </c>
      <c r="I417" s="9" t="s">
        <v>28</v>
      </c>
      <c r="J417" t="s">
        <v>1728</v>
      </c>
    </row>
    <row r="418" spans="2:10" x14ac:dyDescent="0.35">
      <c r="B418">
        <v>35</v>
      </c>
      <c r="C418" s="8">
        <v>250</v>
      </c>
      <c r="D418" t="s">
        <v>1729</v>
      </c>
      <c r="E418" t="s">
        <v>1718</v>
      </c>
      <c r="F418" t="s">
        <v>1730</v>
      </c>
      <c r="G418" t="s">
        <v>27</v>
      </c>
      <c r="H418" t="s">
        <v>15</v>
      </c>
      <c r="I418" s="9" t="s">
        <v>157</v>
      </c>
      <c r="J418" t="s">
        <v>1731</v>
      </c>
    </row>
    <row r="419" spans="2:10" x14ac:dyDescent="0.35">
      <c r="B419">
        <v>34</v>
      </c>
      <c r="C419" s="8">
        <v>500</v>
      </c>
      <c r="D419" t="s">
        <v>76</v>
      </c>
      <c r="E419" t="s">
        <v>1732</v>
      </c>
      <c r="F419" t="s">
        <v>1733</v>
      </c>
      <c r="G419" t="s">
        <v>27</v>
      </c>
      <c r="H419" t="s">
        <v>15</v>
      </c>
      <c r="I419" s="9" t="s">
        <v>405</v>
      </c>
      <c r="J419" t="s">
        <v>1734</v>
      </c>
    </row>
    <row r="420" spans="2:10" x14ac:dyDescent="0.35">
      <c r="B420">
        <v>33</v>
      </c>
      <c r="C420" s="8">
        <v>1000</v>
      </c>
      <c r="D420" t="s">
        <v>1735</v>
      </c>
      <c r="E420" t="s">
        <v>1736</v>
      </c>
      <c r="F420" t="s">
        <v>1737</v>
      </c>
      <c r="G420" t="s">
        <v>27</v>
      </c>
      <c r="H420" t="s">
        <v>15</v>
      </c>
      <c r="I420" s="9" t="s">
        <v>28</v>
      </c>
      <c r="J420" t="s">
        <v>1738</v>
      </c>
    </row>
    <row r="421" spans="2:10" x14ac:dyDescent="0.35">
      <c r="B421">
        <v>32</v>
      </c>
      <c r="C421" s="8">
        <v>1000</v>
      </c>
      <c r="D421" t="s">
        <v>676</v>
      </c>
      <c r="E421" t="s">
        <v>1470</v>
      </c>
      <c r="F421" t="s">
        <v>1739</v>
      </c>
      <c r="G421" t="s">
        <v>27</v>
      </c>
      <c r="H421" t="s">
        <v>15</v>
      </c>
      <c r="I421" s="9" t="s">
        <v>28</v>
      </c>
      <c r="J421" t="s">
        <v>1740</v>
      </c>
    </row>
    <row r="422" spans="2:10" x14ac:dyDescent="0.35">
      <c r="B422">
        <v>31</v>
      </c>
      <c r="C422" s="8">
        <v>1000</v>
      </c>
      <c r="D422" t="s">
        <v>5</v>
      </c>
      <c r="E422" t="s">
        <v>1741</v>
      </c>
      <c r="F422" t="s">
        <v>1742</v>
      </c>
      <c r="G422" t="s">
        <v>186</v>
      </c>
      <c r="H422" t="s">
        <v>15</v>
      </c>
      <c r="I422" s="9" t="s">
        <v>187</v>
      </c>
      <c r="J422" t="s">
        <v>1743</v>
      </c>
    </row>
    <row r="423" spans="2:10" x14ac:dyDescent="0.35">
      <c r="B423">
        <v>30</v>
      </c>
      <c r="C423" s="8">
        <v>250000</v>
      </c>
      <c r="D423" t="s">
        <v>1744</v>
      </c>
      <c r="E423" t="s">
        <v>1745</v>
      </c>
      <c r="F423" t="s">
        <v>1746</v>
      </c>
      <c r="G423" t="s">
        <v>1747</v>
      </c>
      <c r="H423" t="s">
        <v>1085</v>
      </c>
      <c r="I423" s="9" t="s">
        <v>1748</v>
      </c>
      <c r="J423" t="s">
        <v>1749</v>
      </c>
    </row>
    <row r="424" spans="2:10" x14ac:dyDescent="0.35">
      <c r="B424">
        <v>29</v>
      </c>
      <c r="C424" s="8">
        <v>5000</v>
      </c>
      <c r="D424" t="s">
        <v>1750</v>
      </c>
      <c r="E424" t="s">
        <v>1751</v>
      </c>
      <c r="F424" t="s">
        <v>1752</v>
      </c>
      <c r="G424" t="s">
        <v>112</v>
      </c>
      <c r="H424" t="s">
        <v>15</v>
      </c>
      <c r="I424" s="9" t="s">
        <v>113</v>
      </c>
      <c r="J424" t="s">
        <v>1753</v>
      </c>
    </row>
    <row r="425" spans="2:10" x14ac:dyDescent="0.35">
      <c r="B425">
        <v>28</v>
      </c>
      <c r="C425" s="8">
        <v>5000</v>
      </c>
      <c r="D425" t="s">
        <v>76</v>
      </c>
      <c r="E425" t="s">
        <v>1754</v>
      </c>
      <c r="F425" t="s">
        <v>1755</v>
      </c>
      <c r="G425" t="s">
        <v>1756</v>
      </c>
      <c r="H425" t="s">
        <v>1757</v>
      </c>
      <c r="I425" s="9" t="s">
        <v>1758</v>
      </c>
      <c r="J425" t="s">
        <v>1759</v>
      </c>
    </row>
    <row r="426" spans="2:10" x14ac:dyDescent="0.35">
      <c r="B426">
        <v>27</v>
      </c>
      <c r="C426" s="8">
        <v>250</v>
      </c>
      <c r="D426" t="s">
        <v>1760</v>
      </c>
      <c r="E426" t="s">
        <v>1761</v>
      </c>
      <c r="F426" t="s">
        <v>1762</v>
      </c>
      <c r="G426" t="s">
        <v>27</v>
      </c>
      <c r="H426" t="s">
        <v>15</v>
      </c>
      <c r="I426" s="9" t="s">
        <v>405</v>
      </c>
      <c r="J426" t="s">
        <v>1763</v>
      </c>
    </row>
    <row r="427" spans="2:10" x14ac:dyDescent="0.35">
      <c r="B427">
        <v>26</v>
      </c>
      <c r="C427" s="8">
        <v>250</v>
      </c>
      <c r="D427" t="s">
        <v>419</v>
      </c>
      <c r="E427" t="s">
        <v>1764</v>
      </c>
      <c r="F427" t="s">
        <v>1765</v>
      </c>
      <c r="G427" t="s">
        <v>27</v>
      </c>
      <c r="H427" t="s">
        <v>15</v>
      </c>
      <c r="I427" s="9" t="s">
        <v>152</v>
      </c>
      <c r="J427" t="s">
        <v>1766</v>
      </c>
    </row>
    <row r="428" spans="2:10" x14ac:dyDescent="0.35">
      <c r="B428">
        <v>25</v>
      </c>
      <c r="C428" s="8">
        <v>250</v>
      </c>
      <c r="D428" t="s">
        <v>1767</v>
      </c>
      <c r="E428" t="s">
        <v>1768</v>
      </c>
      <c r="F428" t="s">
        <v>1769</v>
      </c>
      <c r="G428" t="s">
        <v>139</v>
      </c>
      <c r="H428" t="s">
        <v>15</v>
      </c>
      <c r="I428" s="9" t="s">
        <v>140</v>
      </c>
      <c r="J428" t="s">
        <v>1770</v>
      </c>
    </row>
    <row r="429" spans="2:10" x14ac:dyDescent="0.35">
      <c r="B429">
        <v>24</v>
      </c>
      <c r="C429" s="8">
        <v>500</v>
      </c>
      <c r="D429" t="s">
        <v>230</v>
      </c>
      <c r="E429" t="s">
        <v>1645</v>
      </c>
      <c r="F429" t="s">
        <v>1771</v>
      </c>
      <c r="G429" t="s">
        <v>264</v>
      </c>
      <c r="H429" t="s">
        <v>15</v>
      </c>
      <c r="I429" s="9" t="s">
        <v>265</v>
      </c>
      <c r="J429" t="s">
        <v>1772</v>
      </c>
    </row>
    <row r="430" spans="2:10" x14ac:dyDescent="0.35">
      <c r="B430">
        <v>23</v>
      </c>
      <c r="C430" s="8">
        <v>1000</v>
      </c>
      <c r="D430" t="s">
        <v>833</v>
      </c>
      <c r="E430" t="s">
        <v>1773</v>
      </c>
      <c r="F430" t="s">
        <v>1774</v>
      </c>
      <c r="G430" t="s">
        <v>1775</v>
      </c>
      <c r="H430" t="s">
        <v>9</v>
      </c>
      <c r="I430" s="9" t="s">
        <v>1776</v>
      </c>
      <c r="J430" t="s">
        <v>1777</v>
      </c>
    </row>
    <row r="431" spans="2:10" x14ac:dyDescent="0.35">
      <c r="B431">
        <v>22</v>
      </c>
      <c r="C431" s="8">
        <v>250</v>
      </c>
      <c r="D431" t="s">
        <v>51</v>
      </c>
      <c r="E431" t="s">
        <v>1778</v>
      </c>
      <c r="F431" t="s">
        <v>1779</v>
      </c>
      <c r="G431" t="s">
        <v>1780</v>
      </c>
      <c r="H431" t="s">
        <v>9</v>
      </c>
      <c r="I431" s="9" t="s">
        <v>1781</v>
      </c>
      <c r="J431" t="s">
        <v>1782</v>
      </c>
    </row>
    <row r="432" spans="2:10" x14ac:dyDescent="0.35">
      <c r="B432">
        <v>21</v>
      </c>
      <c r="C432" s="8">
        <v>250</v>
      </c>
      <c r="D432" t="s">
        <v>1783</v>
      </c>
      <c r="E432" t="s">
        <v>1784</v>
      </c>
      <c r="F432" t="s">
        <v>1785</v>
      </c>
      <c r="G432" t="s">
        <v>1568</v>
      </c>
      <c r="H432" t="s">
        <v>15</v>
      </c>
      <c r="I432" s="9" t="s">
        <v>1569</v>
      </c>
      <c r="J432" t="s">
        <v>1786</v>
      </c>
    </row>
    <row r="433" spans="2:10" x14ac:dyDescent="0.35">
      <c r="B433">
        <v>20</v>
      </c>
      <c r="C433" s="8">
        <v>500</v>
      </c>
      <c r="D433" t="s">
        <v>386</v>
      </c>
      <c r="E433" t="s">
        <v>1787</v>
      </c>
      <c r="F433" t="s">
        <v>1788</v>
      </c>
      <c r="G433" t="s">
        <v>487</v>
      </c>
      <c r="H433" t="s">
        <v>9</v>
      </c>
      <c r="I433" s="9" t="s">
        <v>1709</v>
      </c>
      <c r="J433" t="s">
        <v>1789</v>
      </c>
    </row>
    <row r="434" spans="2:10" x14ac:dyDescent="0.35">
      <c r="B434">
        <v>19</v>
      </c>
      <c r="C434" s="8">
        <v>500</v>
      </c>
      <c r="D434" t="s">
        <v>1790</v>
      </c>
      <c r="E434" t="s">
        <v>1791</v>
      </c>
      <c r="F434" t="s">
        <v>1792</v>
      </c>
      <c r="G434" t="s">
        <v>27</v>
      </c>
      <c r="H434" t="s">
        <v>15</v>
      </c>
      <c r="I434" s="9" t="s">
        <v>39</v>
      </c>
      <c r="J434" t="s">
        <v>1793</v>
      </c>
    </row>
    <row r="435" spans="2:10" x14ac:dyDescent="0.35">
      <c r="B435">
        <v>18</v>
      </c>
      <c r="C435" s="8">
        <v>10000</v>
      </c>
      <c r="D435" t="s">
        <v>1794</v>
      </c>
      <c r="E435" t="s">
        <v>1795</v>
      </c>
      <c r="F435" t="s">
        <v>1796</v>
      </c>
      <c r="G435" t="s">
        <v>27</v>
      </c>
      <c r="H435" t="s">
        <v>15</v>
      </c>
      <c r="I435" s="9" t="s">
        <v>44</v>
      </c>
      <c r="J435" t="s">
        <v>1797</v>
      </c>
    </row>
    <row r="436" spans="2:10" x14ac:dyDescent="0.35">
      <c r="B436">
        <v>17</v>
      </c>
      <c r="C436" s="8">
        <v>250</v>
      </c>
      <c r="D436" t="s">
        <v>595</v>
      </c>
      <c r="E436" t="s">
        <v>1798</v>
      </c>
      <c r="F436" t="s">
        <v>1799</v>
      </c>
      <c r="G436" t="s">
        <v>335</v>
      </c>
      <c r="H436" t="s">
        <v>9</v>
      </c>
      <c r="I436" s="9" t="s">
        <v>1800</v>
      </c>
      <c r="J436" t="s">
        <v>1801</v>
      </c>
    </row>
    <row r="437" spans="2:10" x14ac:dyDescent="0.35">
      <c r="B437">
        <v>16</v>
      </c>
      <c r="C437" s="8">
        <v>250</v>
      </c>
      <c r="D437" t="s">
        <v>729</v>
      </c>
      <c r="E437" t="s">
        <v>1802</v>
      </c>
      <c r="F437" t="s">
        <v>1803</v>
      </c>
      <c r="G437" t="s">
        <v>1804</v>
      </c>
      <c r="H437" t="s">
        <v>9</v>
      </c>
      <c r="I437" s="9" t="s">
        <v>1805</v>
      </c>
      <c r="J437" t="s">
        <v>1806</v>
      </c>
    </row>
    <row r="438" spans="2:10" x14ac:dyDescent="0.35">
      <c r="B438">
        <v>15</v>
      </c>
      <c r="C438" s="8">
        <v>250</v>
      </c>
      <c r="D438" t="s">
        <v>729</v>
      </c>
      <c r="E438" t="s">
        <v>1807</v>
      </c>
      <c r="F438" t="s">
        <v>1808</v>
      </c>
      <c r="G438" t="s">
        <v>1809</v>
      </c>
      <c r="H438" t="s">
        <v>673</v>
      </c>
      <c r="I438" s="9" t="s">
        <v>1810</v>
      </c>
      <c r="J438" t="s">
        <v>1811</v>
      </c>
    </row>
    <row r="439" spans="2:10" x14ac:dyDescent="0.35">
      <c r="B439">
        <v>14</v>
      </c>
      <c r="C439" s="8">
        <v>250</v>
      </c>
      <c r="D439" t="s">
        <v>1717</v>
      </c>
      <c r="E439" t="s">
        <v>381</v>
      </c>
      <c r="F439" t="s">
        <v>1812</v>
      </c>
      <c r="G439" t="s">
        <v>27</v>
      </c>
      <c r="H439" t="s">
        <v>15</v>
      </c>
      <c r="I439" s="9" t="s">
        <v>292</v>
      </c>
      <c r="J439" t="s">
        <v>1813</v>
      </c>
    </row>
    <row r="440" spans="2:10" x14ac:dyDescent="0.35">
      <c r="B440">
        <v>13</v>
      </c>
      <c r="C440" s="8">
        <v>500</v>
      </c>
      <c r="D440" t="s">
        <v>1814</v>
      </c>
      <c r="E440" t="s">
        <v>25</v>
      </c>
      <c r="F440" t="s">
        <v>1815</v>
      </c>
      <c r="G440" t="s">
        <v>27</v>
      </c>
      <c r="H440" t="s">
        <v>15</v>
      </c>
      <c r="I440" s="9" t="s">
        <v>273</v>
      </c>
      <c r="J440" t="s">
        <v>1816</v>
      </c>
    </row>
    <row r="441" spans="2:10" x14ac:dyDescent="0.35">
      <c r="B441">
        <v>12</v>
      </c>
      <c r="C441" s="8">
        <v>500</v>
      </c>
      <c r="D441" t="s">
        <v>1817</v>
      </c>
      <c r="E441" t="s">
        <v>1818</v>
      </c>
      <c r="F441" t="s">
        <v>1819</v>
      </c>
      <c r="G441" t="s">
        <v>27</v>
      </c>
      <c r="H441" t="s">
        <v>15</v>
      </c>
      <c r="I441" s="9" t="s">
        <v>54</v>
      </c>
      <c r="J441" t="s">
        <v>1820</v>
      </c>
    </row>
    <row r="442" spans="2:10" x14ac:dyDescent="0.35">
      <c r="B442">
        <v>11</v>
      </c>
      <c r="C442" s="8">
        <v>500</v>
      </c>
      <c r="D442" t="s">
        <v>1821</v>
      </c>
      <c r="E442" t="s">
        <v>1822</v>
      </c>
      <c r="F442" t="s">
        <v>1823</v>
      </c>
      <c r="G442" t="s">
        <v>27</v>
      </c>
      <c r="H442" t="s">
        <v>15</v>
      </c>
      <c r="I442" s="9" t="s">
        <v>28</v>
      </c>
      <c r="J442" t="s">
        <v>1824</v>
      </c>
    </row>
    <row r="443" spans="2:10" x14ac:dyDescent="0.35">
      <c r="B443">
        <v>10</v>
      </c>
      <c r="C443" s="8">
        <v>2500</v>
      </c>
      <c r="D443" t="s">
        <v>210</v>
      </c>
      <c r="E443" t="s">
        <v>1825</v>
      </c>
      <c r="F443" t="s">
        <v>1826</v>
      </c>
      <c r="G443" t="s">
        <v>27</v>
      </c>
      <c r="H443" t="s">
        <v>15</v>
      </c>
      <c r="I443" s="9" t="s">
        <v>54</v>
      </c>
      <c r="J443" t="s">
        <v>1827</v>
      </c>
    </row>
    <row r="444" spans="2:10" x14ac:dyDescent="0.35">
      <c r="B444">
        <v>9</v>
      </c>
      <c r="C444" s="8">
        <v>5000</v>
      </c>
      <c r="D444" t="s">
        <v>1828</v>
      </c>
      <c r="E444" t="s">
        <v>1829</v>
      </c>
      <c r="F444" t="s">
        <v>1830</v>
      </c>
      <c r="G444" t="s">
        <v>1831</v>
      </c>
      <c r="H444" t="s">
        <v>15</v>
      </c>
      <c r="I444" s="9" t="s">
        <v>1832</v>
      </c>
      <c r="J444" t="s">
        <v>1833</v>
      </c>
    </row>
    <row r="445" spans="2:10" x14ac:dyDescent="0.35">
      <c r="B445">
        <v>8</v>
      </c>
      <c r="C445" s="8">
        <v>250</v>
      </c>
      <c r="D445" t="s">
        <v>1834</v>
      </c>
      <c r="E445" t="s">
        <v>1835</v>
      </c>
      <c r="F445" t="s">
        <v>1836</v>
      </c>
      <c r="G445" t="s">
        <v>27</v>
      </c>
      <c r="H445" t="s">
        <v>15</v>
      </c>
      <c r="I445" s="9" t="s">
        <v>39</v>
      </c>
      <c r="J445" t="s">
        <v>1837</v>
      </c>
    </row>
    <row r="446" spans="2:10" x14ac:dyDescent="0.35">
      <c r="B446">
        <v>7</v>
      </c>
      <c r="C446" s="8">
        <v>250</v>
      </c>
      <c r="D446" t="s">
        <v>1838</v>
      </c>
      <c r="E446" t="s">
        <v>1839</v>
      </c>
      <c r="F446" t="s">
        <v>1840</v>
      </c>
      <c r="G446" t="s">
        <v>598</v>
      </c>
      <c r="H446" t="s">
        <v>15</v>
      </c>
      <c r="I446" s="9" t="s">
        <v>599</v>
      </c>
      <c r="J446" t="s">
        <v>1841</v>
      </c>
    </row>
    <row r="447" spans="2:10" x14ac:dyDescent="0.35">
      <c r="B447">
        <v>6</v>
      </c>
      <c r="C447" s="8">
        <v>250</v>
      </c>
      <c r="D447" t="s">
        <v>847</v>
      </c>
      <c r="E447" t="s">
        <v>1842</v>
      </c>
      <c r="F447" t="s">
        <v>1843</v>
      </c>
      <c r="G447" t="s">
        <v>27</v>
      </c>
      <c r="H447" t="s">
        <v>15</v>
      </c>
      <c r="I447" s="9" t="s">
        <v>39</v>
      </c>
      <c r="J447" t="s">
        <v>1844</v>
      </c>
    </row>
    <row r="448" spans="2:10" x14ac:dyDescent="0.35">
      <c r="B448">
        <v>5</v>
      </c>
      <c r="C448" s="8">
        <v>500</v>
      </c>
      <c r="D448" t="s">
        <v>1281</v>
      </c>
      <c r="E448" t="s">
        <v>1845</v>
      </c>
      <c r="F448" t="s">
        <v>1846</v>
      </c>
      <c r="G448" t="s">
        <v>139</v>
      </c>
      <c r="H448" t="s">
        <v>15</v>
      </c>
      <c r="I448" s="9" t="s">
        <v>140</v>
      </c>
      <c r="J448" t="s">
        <v>1847</v>
      </c>
    </row>
    <row r="449" spans="2:10" x14ac:dyDescent="0.35">
      <c r="B449">
        <v>4</v>
      </c>
      <c r="C449" s="8">
        <v>250</v>
      </c>
      <c r="D449" t="s">
        <v>230</v>
      </c>
      <c r="E449" t="s">
        <v>1093</v>
      </c>
      <c r="F449" t="s">
        <v>1848</v>
      </c>
      <c r="G449" t="s">
        <v>1849</v>
      </c>
      <c r="H449" t="s">
        <v>133</v>
      </c>
      <c r="I449" s="9" t="s">
        <v>1850</v>
      </c>
      <c r="J449" t="s">
        <v>1851</v>
      </c>
    </row>
    <row r="450" spans="2:10" x14ac:dyDescent="0.35">
      <c r="B450">
        <v>3</v>
      </c>
      <c r="C450" s="8">
        <v>500</v>
      </c>
      <c r="D450" t="s">
        <v>610</v>
      </c>
      <c r="E450" t="s">
        <v>1470</v>
      </c>
      <c r="F450" t="s">
        <v>1852</v>
      </c>
      <c r="G450" t="s">
        <v>27</v>
      </c>
      <c r="H450" t="s">
        <v>15</v>
      </c>
      <c r="I450" s="9" t="s">
        <v>273</v>
      </c>
      <c r="J450" t="s">
        <v>1853</v>
      </c>
    </row>
    <row r="451" spans="2:10" x14ac:dyDescent="0.35">
      <c r="B451">
        <v>2</v>
      </c>
      <c r="C451" s="8">
        <v>500</v>
      </c>
      <c r="D451" t="s">
        <v>1854</v>
      </c>
      <c r="E451" t="s">
        <v>1855</v>
      </c>
      <c r="F451" t="s">
        <v>1856</v>
      </c>
      <c r="G451" t="s">
        <v>27</v>
      </c>
      <c r="H451" t="s">
        <v>15</v>
      </c>
      <c r="I451" s="9" t="s">
        <v>89</v>
      </c>
      <c r="J451" t="s">
        <v>1857</v>
      </c>
    </row>
    <row r="452" spans="2:10" x14ac:dyDescent="0.35">
      <c r="B452">
        <v>1</v>
      </c>
      <c r="C452" s="8">
        <v>10000</v>
      </c>
      <c r="D452" t="s">
        <v>1858</v>
      </c>
      <c r="E452" t="s">
        <v>1859</v>
      </c>
      <c r="F452" t="s">
        <v>1860</v>
      </c>
      <c r="G452" t="s">
        <v>27</v>
      </c>
      <c r="H452" t="s">
        <v>15</v>
      </c>
      <c r="I452" s="9" t="s">
        <v>54</v>
      </c>
      <c r="J452" t="s">
        <v>1861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8C9E0-64B6-4849-AC7B-44326A080067}">
  <sheetPr codeName="Sheet5"/>
  <dimension ref="B1:D615"/>
  <sheetViews>
    <sheetView zoomScale="120" zoomScaleNormal="120" workbookViewId="0">
      <selection activeCell="B5" sqref="B5:D5"/>
    </sheetView>
  </sheetViews>
  <sheetFormatPr defaultRowHeight="14.5" x14ac:dyDescent="0.35"/>
  <cols>
    <col min="1" max="1" width="2.54296875" customWidth="1"/>
    <col min="2" max="2" width="10.54296875" customWidth="1"/>
    <col min="3" max="3" width="13.7265625" customWidth="1"/>
    <col min="4" max="4" width="12.1796875" customWidth="1"/>
  </cols>
  <sheetData>
    <row r="1" spans="2:4" ht="25.5" x14ac:dyDescent="0.55000000000000004">
      <c r="B1" s="5" t="s">
        <v>0</v>
      </c>
    </row>
    <row r="2" spans="2:4" ht="18.5" x14ac:dyDescent="0.45">
      <c r="B2" s="6" t="s">
        <v>1874</v>
      </c>
    </row>
    <row r="4" spans="2:4" x14ac:dyDescent="0.35">
      <c r="B4" t="s">
        <v>1872</v>
      </c>
      <c r="C4" t="s">
        <v>2</v>
      </c>
      <c r="D4" s="8" t="s">
        <v>1875</v>
      </c>
    </row>
    <row r="5" spans="2:4" x14ac:dyDescent="0.35">
      <c r="B5">
        <v>30</v>
      </c>
      <c r="C5" s="7">
        <v>44465</v>
      </c>
      <c r="D5" s="8">
        <v>10000</v>
      </c>
    </row>
    <row r="6" spans="2:4" x14ac:dyDescent="0.35">
      <c r="B6">
        <v>18</v>
      </c>
      <c r="C6" s="7">
        <v>44464</v>
      </c>
      <c r="D6" s="8">
        <v>6750</v>
      </c>
    </row>
    <row r="7" spans="2:4" x14ac:dyDescent="0.35">
      <c r="B7">
        <v>278</v>
      </c>
      <c r="C7" s="7">
        <v>44459</v>
      </c>
      <c r="D7" s="8">
        <v>100</v>
      </c>
    </row>
    <row r="8" spans="2:4" x14ac:dyDescent="0.35">
      <c r="B8">
        <v>300</v>
      </c>
      <c r="C8" s="7">
        <v>44459</v>
      </c>
      <c r="D8" s="8">
        <v>50</v>
      </c>
    </row>
    <row r="9" spans="2:4" x14ac:dyDescent="0.35">
      <c r="B9">
        <v>448</v>
      </c>
      <c r="C9" s="7">
        <v>44459</v>
      </c>
      <c r="D9" s="8">
        <v>250</v>
      </c>
    </row>
    <row r="10" spans="2:4" x14ac:dyDescent="0.35">
      <c r="B10">
        <v>36</v>
      </c>
      <c r="C10" s="7">
        <v>44458</v>
      </c>
      <c r="D10" s="8">
        <v>75</v>
      </c>
    </row>
    <row r="11" spans="2:4" x14ac:dyDescent="0.35">
      <c r="B11">
        <v>103</v>
      </c>
      <c r="C11" s="7">
        <v>44458</v>
      </c>
      <c r="D11" s="8">
        <v>50</v>
      </c>
    </row>
    <row r="12" spans="2:4" x14ac:dyDescent="0.35">
      <c r="B12">
        <v>447</v>
      </c>
      <c r="C12" s="7">
        <v>44458</v>
      </c>
      <c r="D12" s="8">
        <v>10000</v>
      </c>
    </row>
    <row r="13" spans="2:4" x14ac:dyDescent="0.35">
      <c r="B13">
        <v>155</v>
      </c>
      <c r="C13" s="7">
        <v>44457</v>
      </c>
      <c r="D13" s="8">
        <v>100</v>
      </c>
    </row>
    <row r="14" spans="2:4" x14ac:dyDescent="0.35">
      <c r="B14">
        <v>446</v>
      </c>
      <c r="C14" s="7">
        <v>44457</v>
      </c>
      <c r="D14" s="8">
        <v>62500</v>
      </c>
    </row>
    <row r="15" spans="2:4" x14ac:dyDescent="0.35">
      <c r="B15">
        <v>294</v>
      </c>
      <c r="C15" s="7">
        <v>44456</v>
      </c>
      <c r="D15" s="8">
        <v>200</v>
      </c>
    </row>
    <row r="16" spans="2:4" x14ac:dyDescent="0.35">
      <c r="B16">
        <v>24</v>
      </c>
      <c r="C16" s="7">
        <v>44455</v>
      </c>
      <c r="D16" s="8">
        <v>25</v>
      </c>
    </row>
    <row r="17" spans="2:4" x14ac:dyDescent="0.35">
      <c r="B17">
        <v>79</v>
      </c>
      <c r="C17" s="7">
        <v>44455</v>
      </c>
      <c r="D17" s="8">
        <v>50</v>
      </c>
    </row>
    <row r="18" spans="2:4" x14ac:dyDescent="0.35">
      <c r="B18">
        <v>23</v>
      </c>
      <c r="C18" s="7">
        <v>44454</v>
      </c>
      <c r="D18" s="8">
        <v>225</v>
      </c>
    </row>
    <row r="19" spans="2:4" x14ac:dyDescent="0.35">
      <c r="B19">
        <v>144</v>
      </c>
      <c r="C19" s="7">
        <v>44454</v>
      </c>
      <c r="D19" s="8">
        <v>75</v>
      </c>
    </row>
    <row r="20" spans="2:4" x14ac:dyDescent="0.35">
      <c r="B20">
        <v>207</v>
      </c>
      <c r="C20" s="7">
        <v>44454</v>
      </c>
      <c r="D20" s="8">
        <v>225</v>
      </c>
    </row>
    <row r="21" spans="2:4" x14ac:dyDescent="0.35">
      <c r="B21">
        <v>235</v>
      </c>
      <c r="C21" s="7">
        <v>44454</v>
      </c>
      <c r="D21" s="8">
        <v>450</v>
      </c>
    </row>
    <row r="22" spans="2:4" x14ac:dyDescent="0.35">
      <c r="B22">
        <v>442</v>
      </c>
      <c r="C22" s="7">
        <v>44454</v>
      </c>
      <c r="D22" s="8">
        <v>500</v>
      </c>
    </row>
    <row r="23" spans="2:4" x14ac:dyDescent="0.35">
      <c r="B23">
        <v>443</v>
      </c>
      <c r="C23" s="7">
        <v>44454</v>
      </c>
      <c r="D23" s="8">
        <v>250</v>
      </c>
    </row>
    <row r="24" spans="2:4" x14ac:dyDescent="0.35">
      <c r="B24">
        <v>444</v>
      </c>
      <c r="C24" s="7">
        <v>44454</v>
      </c>
      <c r="D24" s="8">
        <v>500</v>
      </c>
    </row>
    <row r="25" spans="2:4" x14ac:dyDescent="0.35">
      <c r="B25">
        <v>445</v>
      </c>
      <c r="C25" s="7">
        <v>44454</v>
      </c>
      <c r="D25" s="8">
        <v>500</v>
      </c>
    </row>
    <row r="26" spans="2:4" x14ac:dyDescent="0.35">
      <c r="B26">
        <v>316</v>
      </c>
      <c r="C26" s="7">
        <v>44453</v>
      </c>
      <c r="D26" s="8">
        <v>100</v>
      </c>
    </row>
    <row r="27" spans="2:4" x14ac:dyDescent="0.35">
      <c r="B27">
        <v>440</v>
      </c>
      <c r="C27" s="7">
        <v>44453</v>
      </c>
      <c r="D27" s="8">
        <v>2500</v>
      </c>
    </row>
    <row r="28" spans="2:4" x14ac:dyDescent="0.35">
      <c r="B28">
        <v>441</v>
      </c>
      <c r="C28" s="7">
        <v>44453</v>
      </c>
      <c r="D28" s="8">
        <v>500</v>
      </c>
    </row>
    <row r="29" spans="2:4" x14ac:dyDescent="0.35">
      <c r="B29">
        <v>438</v>
      </c>
      <c r="C29" s="7">
        <v>44452</v>
      </c>
      <c r="D29" s="8">
        <v>2500</v>
      </c>
    </row>
    <row r="30" spans="2:4" x14ac:dyDescent="0.35">
      <c r="B30">
        <v>439</v>
      </c>
      <c r="C30" s="7">
        <v>44452</v>
      </c>
      <c r="D30" s="8">
        <v>250</v>
      </c>
    </row>
    <row r="31" spans="2:4" x14ac:dyDescent="0.35">
      <c r="B31">
        <v>110</v>
      </c>
      <c r="C31" s="7">
        <v>44451</v>
      </c>
      <c r="D31" s="8">
        <v>525</v>
      </c>
    </row>
    <row r="32" spans="2:4" x14ac:dyDescent="0.35">
      <c r="B32">
        <v>131</v>
      </c>
      <c r="C32" s="7">
        <v>44451</v>
      </c>
      <c r="D32" s="8">
        <v>600</v>
      </c>
    </row>
    <row r="33" spans="2:4" x14ac:dyDescent="0.35">
      <c r="B33">
        <v>351</v>
      </c>
      <c r="C33" s="7">
        <v>44451</v>
      </c>
      <c r="D33" s="8">
        <v>180000</v>
      </c>
    </row>
    <row r="34" spans="2:4" x14ac:dyDescent="0.35">
      <c r="B34">
        <v>434</v>
      </c>
      <c r="C34" s="7">
        <v>44451</v>
      </c>
      <c r="D34" s="8">
        <v>5000</v>
      </c>
    </row>
    <row r="35" spans="2:4" x14ac:dyDescent="0.35">
      <c r="B35">
        <v>435</v>
      </c>
      <c r="C35" s="7">
        <v>44451</v>
      </c>
      <c r="D35" s="8">
        <v>5000</v>
      </c>
    </row>
    <row r="36" spans="2:4" x14ac:dyDescent="0.35">
      <c r="B36">
        <v>436</v>
      </c>
      <c r="C36" s="7">
        <v>44451</v>
      </c>
      <c r="D36" s="8">
        <v>5000</v>
      </c>
    </row>
    <row r="37" spans="2:4" x14ac:dyDescent="0.35">
      <c r="B37">
        <v>437</v>
      </c>
      <c r="C37" s="7">
        <v>44451</v>
      </c>
      <c r="D37" s="8">
        <v>500</v>
      </c>
    </row>
    <row r="38" spans="2:4" x14ac:dyDescent="0.35">
      <c r="B38">
        <v>286</v>
      </c>
      <c r="C38" s="7">
        <v>44450</v>
      </c>
      <c r="D38" s="8">
        <v>750</v>
      </c>
    </row>
    <row r="39" spans="2:4" x14ac:dyDescent="0.35">
      <c r="B39">
        <v>427</v>
      </c>
      <c r="C39" s="7">
        <v>44450</v>
      </c>
      <c r="D39" s="8">
        <v>5000</v>
      </c>
    </row>
    <row r="40" spans="2:4" x14ac:dyDescent="0.35">
      <c r="B40">
        <v>428</v>
      </c>
      <c r="C40" s="7">
        <v>44450</v>
      </c>
      <c r="D40" s="8">
        <v>500</v>
      </c>
    </row>
    <row r="41" spans="2:4" x14ac:dyDescent="0.35">
      <c r="B41">
        <v>429</v>
      </c>
      <c r="C41" s="7">
        <v>44450</v>
      </c>
      <c r="D41" s="8">
        <v>500</v>
      </c>
    </row>
    <row r="42" spans="2:4" x14ac:dyDescent="0.35">
      <c r="B42">
        <v>430</v>
      </c>
      <c r="C42" s="7">
        <v>44450</v>
      </c>
      <c r="D42" s="8">
        <v>250</v>
      </c>
    </row>
    <row r="43" spans="2:4" x14ac:dyDescent="0.35">
      <c r="B43">
        <v>431</v>
      </c>
      <c r="C43" s="7">
        <v>44450</v>
      </c>
      <c r="D43" s="8">
        <v>500</v>
      </c>
    </row>
    <row r="44" spans="2:4" x14ac:dyDescent="0.35">
      <c r="B44">
        <v>432</v>
      </c>
      <c r="C44" s="7">
        <v>44450</v>
      </c>
      <c r="D44" s="8">
        <v>500</v>
      </c>
    </row>
    <row r="45" spans="2:4" x14ac:dyDescent="0.35">
      <c r="B45">
        <v>433</v>
      </c>
      <c r="C45" s="7">
        <v>44450</v>
      </c>
      <c r="D45" s="8">
        <v>250</v>
      </c>
    </row>
    <row r="46" spans="2:4" x14ac:dyDescent="0.35">
      <c r="B46">
        <v>230</v>
      </c>
      <c r="C46" s="7">
        <v>44449</v>
      </c>
      <c r="D46" s="8">
        <v>500</v>
      </c>
    </row>
    <row r="47" spans="2:4" x14ac:dyDescent="0.35">
      <c r="B47">
        <v>272</v>
      </c>
      <c r="C47" s="7">
        <v>44449</v>
      </c>
      <c r="D47" s="8">
        <v>300</v>
      </c>
    </row>
    <row r="48" spans="2:4" x14ac:dyDescent="0.35">
      <c r="B48">
        <v>423</v>
      </c>
      <c r="C48" s="7">
        <v>44449</v>
      </c>
      <c r="D48" s="8">
        <v>1000</v>
      </c>
    </row>
    <row r="49" spans="2:4" x14ac:dyDescent="0.35">
      <c r="B49">
        <v>424</v>
      </c>
      <c r="C49" s="7">
        <v>44449</v>
      </c>
      <c r="D49" s="8">
        <v>250</v>
      </c>
    </row>
    <row r="50" spans="2:4" x14ac:dyDescent="0.35">
      <c r="B50">
        <v>425</v>
      </c>
      <c r="C50" s="7">
        <v>44449</v>
      </c>
      <c r="D50" s="8">
        <v>250</v>
      </c>
    </row>
    <row r="51" spans="2:4" x14ac:dyDescent="0.35">
      <c r="B51">
        <v>426</v>
      </c>
      <c r="C51" s="7">
        <v>44449</v>
      </c>
      <c r="D51" s="8">
        <v>1000</v>
      </c>
    </row>
    <row r="52" spans="2:4" x14ac:dyDescent="0.35">
      <c r="B52">
        <v>63</v>
      </c>
      <c r="C52" s="7">
        <v>44448</v>
      </c>
      <c r="D52" s="8">
        <v>225</v>
      </c>
    </row>
    <row r="53" spans="2:4" x14ac:dyDescent="0.35">
      <c r="B53">
        <v>76</v>
      </c>
      <c r="C53" s="7">
        <v>44448</v>
      </c>
      <c r="D53" s="8">
        <v>125</v>
      </c>
    </row>
    <row r="54" spans="2:4" x14ac:dyDescent="0.35">
      <c r="B54">
        <v>232</v>
      </c>
      <c r="C54" s="7">
        <v>44448</v>
      </c>
      <c r="D54" s="8">
        <v>1050</v>
      </c>
    </row>
    <row r="55" spans="2:4" x14ac:dyDescent="0.35">
      <c r="B55">
        <v>422</v>
      </c>
      <c r="C55" s="7">
        <v>44448</v>
      </c>
      <c r="D55" s="8">
        <v>1250</v>
      </c>
    </row>
    <row r="56" spans="2:4" x14ac:dyDescent="0.35">
      <c r="B56">
        <v>333</v>
      </c>
      <c r="C56" s="7">
        <v>44447</v>
      </c>
      <c r="D56" s="8">
        <v>75</v>
      </c>
    </row>
    <row r="57" spans="2:4" x14ac:dyDescent="0.35">
      <c r="B57">
        <v>419</v>
      </c>
      <c r="C57" s="7">
        <v>44447</v>
      </c>
      <c r="D57" s="8">
        <v>500</v>
      </c>
    </row>
    <row r="58" spans="2:4" x14ac:dyDescent="0.35">
      <c r="B58">
        <v>420</v>
      </c>
      <c r="C58" s="7">
        <v>44447</v>
      </c>
      <c r="D58" s="8">
        <v>500</v>
      </c>
    </row>
    <row r="59" spans="2:4" x14ac:dyDescent="0.35">
      <c r="B59">
        <v>421</v>
      </c>
      <c r="C59" s="7">
        <v>44447</v>
      </c>
      <c r="D59" s="8">
        <v>250</v>
      </c>
    </row>
    <row r="60" spans="2:4" x14ac:dyDescent="0.35">
      <c r="B60">
        <v>222</v>
      </c>
      <c r="C60" s="7">
        <v>44446</v>
      </c>
      <c r="D60" s="8">
        <v>2250</v>
      </c>
    </row>
    <row r="61" spans="2:4" x14ac:dyDescent="0.35">
      <c r="B61">
        <v>417</v>
      </c>
      <c r="C61" s="7">
        <v>44446</v>
      </c>
      <c r="D61" s="8">
        <v>1000</v>
      </c>
    </row>
    <row r="62" spans="2:4" x14ac:dyDescent="0.35">
      <c r="B62">
        <v>418</v>
      </c>
      <c r="C62" s="7">
        <v>44446</v>
      </c>
      <c r="D62" s="8">
        <v>500</v>
      </c>
    </row>
    <row r="63" spans="2:4" x14ac:dyDescent="0.35">
      <c r="B63">
        <v>413</v>
      </c>
      <c r="C63" s="7">
        <v>44445</v>
      </c>
      <c r="D63" s="8">
        <v>1250</v>
      </c>
    </row>
    <row r="64" spans="2:4" x14ac:dyDescent="0.35">
      <c r="B64">
        <v>414</v>
      </c>
      <c r="C64" s="7">
        <v>44445</v>
      </c>
      <c r="D64" s="8">
        <v>130</v>
      </c>
    </row>
    <row r="65" spans="2:4" x14ac:dyDescent="0.35">
      <c r="B65">
        <v>415</v>
      </c>
      <c r="C65" s="7">
        <v>44445</v>
      </c>
      <c r="D65" s="8">
        <v>500</v>
      </c>
    </row>
    <row r="66" spans="2:4" x14ac:dyDescent="0.35">
      <c r="B66">
        <v>416</v>
      </c>
      <c r="C66" s="7">
        <v>44445</v>
      </c>
      <c r="D66" s="8">
        <v>250</v>
      </c>
    </row>
    <row r="67" spans="2:4" x14ac:dyDescent="0.35">
      <c r="B67">
        <v>411</v>
      </c>
      <c r="C67" s="7">
        <v>44444</v>
      </c>
      <c r="D67" s="8">
        <v>250</v>
      </c>
    </row>
    <row r="68" spans="2:4" x14ac:dyDescent="0.35">
      <c r="B68">
        <v>412</v>
      </c>
      <c r="C68" s="7">
        <v>44444</v>
      </c>
      <c r="D68" s="8">
        <v>250</v>
      </c>
    </row>
    <row r="69" spans="2:4" x14ac:dyDescent="0.35">
      <c r="B69">
        <v>75</v>
      </c>
      <c r="C69" s="7">
        <v>44443</v>
      </c>
      <c r="D69" s="8">
        <v>125</v>
      </c>
    </row>
    <row r="70" spans="2:4" x14ac:dyDescent="0.35">
      <c r="B70">
        <v>189</v>
      </c>
      <c r="C70" s="7">
        <v>44443</v>
      </c>
      <c r="D70" s="8">
        <v>200</v>
      </c>
    </row>
    <row r="71" spans="2:4" x14ac:dyDescent="0.35">
      <c r="B71">
        <v>407</v>
      </c>
      <c r="C71" s="7">
        <v>44443</v>
      </c>
      <c r="D71" s="8">
        <v>12500</v>
      </c>
    </row>
    <row r="72" spans="2:4" x14ac:dyDescent="0.35">
      <c r="B72">
        <v>408</v>
      </c>
      <c r="C72" s="7">
        <v>44443</v>
      </c>
      <c r="D72" s="8">
        <v>250</v>
      </c>
    </row>
    <row r="73" spans="2:4" x14ac:dyDescent="0.35">
      <c r="B73">
        <v>409</v>
      </c>
      <c r="C73" s="7">
        <v>44443</v>
      </c>
      <c r="D73" s="8">
        <v>250</v>
      </c>
    </row>
    <row r="74" spans="2:4" x14ac:dyDescent="0.35">
      <c r="B74">
        <v>410</v>
      </c>
      <c r="C74" s="7">
        <v>44443</v>
      </c>
      <c r="D74" s="8">
        <v>250</v>
      </c>
    </row>
    <row r="75" spans="2:4" x14ac:dyDescent="0.35">
      <c r="B75">
        <v>60</v>
      </c>
      <c r="C75" s="7">
        <v>44442</v>
      </c>
      <c r="D75" s="8">
        <v>25</v>
      </c>
    </row>
    <row r="76" spans="2:4" x14ac:dyDescent="0.35">
      <c r="B76">
        <v>7</v>
      </c>
      <c r="C76" s="7">
        <v>44441</v>
      </c>
      <c r="D76" s="8">
        <v>25</v>
      </c>
    </row>
    <row r="77" spans="2:4" x14ac:dyDescent="0.35">
      <c r="B77">
        <v>51</v>
      </c>
      <c r="C77" s="7">
        <v>44441</v>
      </c>
      <c r="D77" s="8">
        <v>75</v>
      </c>
    </row>
    <row r="78" spans="2:4" x14ac:dyDescent="0.35">
      <c r="B78">
        <v>205</v>
      </c>
      <c r="C78" s="7">
        <v>44441</v>
      </c>
      <c r="D78" s="8">
        <v>75</v>
      </c>
    </row>
    <row r="79" spans="2:4" x14ac:dyDescent="0.35">
      <c r="B79">
        <v>406</v>
      </c>
      <c r="C79" s="7">
        <v>44441</v>
      </c>
      <c r="D79" s="8">
        <v>2500</v>
      </c>
    </row>
    <row r="80" spans="2:4" x14ac:dyDescent="0.35">
      <c r="B80">
        <v>134</v>
      </c>
      <c r="C80" s="7">
        <v>44440</v>
      </c>
      <c r="D80" s="8">
        <v>25</v>
      </c>
    </row>
    <row r="81" spans="2:4" x14ac:dyDescent="0.35">
      <c r="B81">
        <v>204</v>
      </c>
      <c r="C81" s="7">
        <v>44440</v>
      </c>
      <c r="D81" s="8">
        <v>200</v>
      </c>
    </row>
    <row r="82" spans="2:4" x14ac:dyDescent="0.35">
      <c r="B82">
        <v>308</v>
      </c>
      <c r="C82" s="7">
        <v>44440</v>
      </c>
      <c r="D82" s="8">
        <v>1125</v>
      </c>
    </row>
    <row r="83" spans="2:4" x14ac:dyDescent="0.35">
      <c r="B83">
        <v>8</v>
      </c>
      <c r="C83" s="7">
        <v>44439</v>
      </c>
      <c r="D83" s="8">
        <v>25</v>
      </c>
    </row>
    <row r="84" spans="2:4" x14ac:dyDescent="0.35">
      <c r="B84">
        <v>403</v>
      </c>
      <c r="C84" s="7">
        <v>44439</v>
      </c>
      <c r="D84" s="8">
        <v>500</v>
      </c>
    </row>
    <row r="85" spans="2:4" x14ac:dyDescent="0.35">
      <c r="B85">
        <v>404</v>
      </c>
      <c r="C85" s="7">
        <v>44439</v>
      </c>
      <c r="D85" s="8">
        <v>250</v>
      </c>
    </row>
    <row r="86" spans="2:4" x14ac:dyDescent="0.35">
      <c r="B86">
        <v>405</v>
      </c>
      <c r="C86" s="7">
        <v>44439</v>
      </c>
      <c r="D86" s="8">
        <v>250</v>
      </c>
    </row>
    <row r="87" spans="2:4" x14ac:dyDescent="0.35">
      <c r="B87">
        <v>13</v>
      </c>
      <c r="C87" s="7">
        <v>44438</v>
      </c>
      <c r="D87" s="8">
        <v>125</v>
      </c>
    </row>
    <row r="88" spans="2:4" x14ac:dyDescent="0.35">
      <c r="B88">
        <v>69</v>
      </c>
      <c r="C88" s="7">
        <v>44438</v>
      </c>
      <c r="D88" s="8">
        <v>25</v>
      </c>
    </row>
    <row r="89" spans="2:4" x14ac:dyDescent="0.35">
      <c r="B89">
        <v>398</v>
      </c>
      <c r="C89" s="7">
        <v>44438</v>
      </c>
      <c r="D89" s="8">
        <v>1000</v>
      </c>
    </row>
    <row r="90" spans="2:4" x14ac:dyDescent="0.35">
      <c r="B90">
        <v>399</v>
      </c>
      <c r="C90" s="7">
        <v>44438</v>
      </c>
      <c r="D90" s="8">
        <v>500</v>
      </c>
    </row>
    <row r="91" spans="2:4" x14ac:dyDescent="0.35">
      <c r="B91">
        <v>400</v>
      </c>
      <c r="C91" s="7">
        <v>44438</v>
      </c>
      <c r="D91" s="8">
        <v>130</v>
      </c>
    </row>
    <row r="92" spans="2:4" x14ac:dyDescent="0.35">
      <c r="B92">
        <v>401</v>
      </c>
      <c r="C92" s="7">
        <v>44438</v>
      </c>
      <c r="D92" s="8">
        <v>500</v>
      </c>
    </row>
    <row r="93" spans="2:4" x14ac:dyDescent="0.35">
      <c r="B93">
        <v>402</v>
      </c>
      <c r="C93" s="7">
        <v>44438</v>
      </c>
      <c r="D93" s="8">
        <v>250</v>
      </c>
    </row>
    <row r="94" spans="2:4" x14ac:dyDescent="0.35">
      <c r="B94">
        <v>164</v>
      </c>
      <c r="C94" s="7">
        <v>44437</v>
      </c>
      <c r="D94" s="8">
        <v>350</v>
      </c>
    </row>
    <row r="95" spans="2:4" x14ac:dyDescent="0.35">
      <c r="B95">
        <v>193</v>
      </c>
      <c r="C95" s="7">
        <v>44437</v>
      </c>
      <c r="D95" s="8">
        <v>25</v>
      </c>
    </row>
    <row r="96" spans="2:4" x14ac:dyDescent="0.35">
      <c r="B96">
        <v>394</v>
      </c>
      <c r="C96" s="7">
        <v>44437</v>
      </c>
      <c r="D96" s="8">
        <v>250</v>
      </c>
    </row>
    <row r="97" spans="2:4" x14ac:dyDescent="0.35">
      <c r="B97">
        <v>395</v>
      </c>
      <c r="C97" s="7">
        <v>44437</v>
      </c>
      <c r="D97" s="8">
        <v>130</v>
      </c>
    </row>
    <row r="98" spans="2:4" x14ac:dyDescent="0.35">
      <c r="B98">
        <v>396</v>
      </c>
      <c r="C98" s="7">
        <v>44437</v>
      </c>
      <c r="D98" s="8">
        <v>250</v>
      </c>
    </row>
    <row r="99" spans="2:4" x14ac:dyDescent="0.35">
      <c r="B99">
        <v>397</v>
      </c>
      <c r="C99" s="7">
        <v>44437</v>
      </c>
      <c r="D99" s="8">
        <v>250</v>
      </c>
    </row>
    <row r="100" spans="2:4" x14ac:dyDescent="0.35">
      <c r="B100">
        <v>37</v>
      </c>
      <c r="C100" s="7">
        <v>44436</v>
      </c>
      <c r="D100" s="8">
        <v>25</v>
      </c>
    </row>
    <row r="101" spans="2:4" x14ac:dyDescent="0.35">
      <c r="B101">
        <v>240</v>
      </c>
      <c r="C101" s="7">
        <v>44436</v>
      </c>
      <c r="D101" s="8">
        <v>450</v>
      </c>
    </row>
    <row r="102" spans="2:4" x14ac:dyDescent="0.35">
      <c r="B102">
        <v>391</v>
      </c>
      <c r="C102" s="7">
        <v>44436</v>
      </c>
      <c r="D102" s="8">
        <v>1000</v>
      </c>
    </row>
    <row r="103" spans="2:4" x14ac:dyDescent="0.35">
      <c r="B103">
        <v>392</v>
      </c>
      <c r="C103" s="7">
        <v>44436</v>
      </c>
      <c r="D103" s="8">
        <v>500</v>
      </c>
    </row>
    <row r="104" spans="2:4" x14ac:dyDescent="0.35">
      <c r="B104">
        <v>393</v>
      </c>
      <c r="C104" s="7">
        <v>44436</v>
      </c>
      <c r="D104" s="8">
        <v>250</v>
      </c>
    </row>
    <row r="105" spans="2:4" x14ac:dyDescent="0.35">
      <c r="B105">
        <v>1</v>
      </c>
      <c r="C105" s="7">
        <v>44435</v>
      </c>
      <c r="D105" s="8">
        <v>3600</v>
      </c>
    </row>
    <row r="106" spans="2:4" x14ac:dyDescent="0.35">
      <c r="B106">
        <v>26</v>
      </c>
      <c r="C106" s="7">
        <v>44435</v>
      </c>
      <c r="D106" s="8">
        <v>100</v>
      </c>
    </row>
    <row r="107" spans="2:4" x14ac:dyDescent="0.35">
      <c r="B107">
        <v>148</v>
      </c>
      <c r="C107" s="7">
        <v>44435</v>
      </c>
      <c r="D107" s="8">
        <v>25</v>
      </c>
    </row>
    <row r="108" spans="2:4" x14ac:dyDescent="0.35">
      <c r="B108">
        <v>284</v>
      </c>
      <c r="C108" s="7">
        <v>44435</v>
      </c>
      <c r="D108" s="8">
        <v>175</v>
      </c>
    </row>
    <row r="109" spans="2:4" x14ac:dyDescent="0.35">
      <c r="B109">
        <v>292</v>
      </c>
      <c r="C109" s="7">
        <v>44435</v>
      </c>
      <c r="D109" s="8">
        <v>350</v>
      </c>
    </row>
    <row r="110" spans="2:4" x14ac:dyDescent="0.35">
      <c r="B110">
        <v>388</v>
      </c>
      <c r="C110" s="7">
        <v>44435</v>
      </c>
      <c r="D110" s="8">
        <v>2500</v>
      </c>
    </row>
    <row r="111" spans="2:4" x14ac:dyDescent="0.35">
      <c r="B111">
        <v>389</v>
      </c>
      <c r="C111" s="7">
        <v>44435</v>
      </c>
      <c r="D111" s="8">
        <v>250</v>
      </c>
    </row>
    <row r="112" spans="2:4" x14ac:dyDescent="0.35">
      <c r="B112">
        <v>390</v>
      </c>
      <c r="C112" s="7">
        <v>44435</v>
      </c>
      <c r="D112" s="8">
        <v>250</v>
      </c>
    </row>
    <row r="113" spans="2:4" x14ac:dyDescent="0.35">
      <c r="B113">
        <v>276</v>
      </c>
      <c r="C113" s="7">
        <v>44434</v>
      </c>
      <c r="D113" s="8">
        <v>25</v>
      </c>
    </row>
    <row r="114" spans="2:4" x14ac:dyDescent="0.35">
      <c r="B114">
        <v>386</v>
      </c>
      <c r="C114" s="7">
        <v>44434</v>
      </c>
      <c r="D114" s="8">
        <v>500</v>
      </c>
    </row>
    <row r="115" spans="2:4" x14ac:dyDescent="0.35">
      <c r="B115">
        <v>387</v>
      </c>
      <c r="C115" s="7">
        <v>44434</v>
      </c>
      <c r="D115" s="8">
        <v>130</v>
      </c>
    </row>
    <row r="116" spans="2:4" x14ac:dyDescent="0.35">
      <c r="B116">
        <v>385</v>
      </c>
      <c r="C116" s="7">
        <v>44433</v>
      </c>
      <c r="D116" s="8">
        <v>250</v>
      </c>
    </row>
    <row r="117" spans="2:4" x14ac:dyDescent="0.35">
      <c r="B117">
        <v>137</v>
      </c>
      <c r="C117" s="7">
        <v>44432</v>
      </c>
      <c r="D117" s="8">
        <v>25</v>
      </c>
    </row>
    <row r="118" spans="2:4" x14ac:dyDescent="0.35">
      <c r="B118">
        <v>383</v>
      </c>
      <c r="C118" s="7">
        <v>44432</v>
      </c>
      <c r="D118" s="8">
        <v>500</v>
      </c>
    </row>
    <row r="119" spans="2:4" x14ac:dyDescent="0.35">
      <c r="B119">
        <v>384</v>
      </c>
      <c r="C119" s="7">
        <v>44432</v>
      </c>
      <c r="D119" s="8">
        <v>250</v>
      </c>
    </row>
    <row r="120" spans="2:4" x14ac:dyDescent="0.35">
      <c r="B120">
        <v>41</v>
      </c>
      <c r="C120" s="7">
        <v>44431</v>
      </c>
      <c r="D120" s="8">
        <v>50</v>
      </c>
    </row>
    <row r="121" spans="2:4" x14ac:dyDescent="0.35">
      <c r="B121">
        <v>242</v>
      </c>
      <c r="C121" s="7">
        <v>44431</v>
      </c>
      <c r="D121" s="8">
        <v>100</v>
      </c>
    </row>
    <row r="122" spans="2:4" x14ac:dyDescent="0.35">
      <c r="B122">
        <v>382</v>
      </c>
      <c r="C122" s="7">
        <v>44431</v>
      </c>
      <c r="D122" s="8">
        <v>250</v>
      </c>
    </row>
    <row r="123" spans="2:4" x14ac:dyDescent="0.35">
      <c r="B123">
        <v>186</v>
      </c>
      <c r="C123" s="7">
        <v>44430</v>
      </c>
      <c r="D123" s="8">
        <v>9000</v>
      </c>
    </row>
    <row r="124" spans="2:4" x14ac:dyDescent="0.35">
      <c r="B124">
        <v>234</v>
      </c>
      <c r="C124" s="7">
        <v>44430</v>
      </c>
      <c r="D124" s="8">
        <v>125</v>
      </c>
    </row>
    <row r="125" spans="2:4" x14ac:dyDescent="0.35">
      <c r="B125">
        <v>380</v>
      </c>
      <c r="C125" s="7">
        <v>44430</v>
      </c>
      <c r="D125" s="8">
        <v>1000</v>
      </c>
    </row>
    <row r="126" spans="2:4" x14ac:dyDescent="0.35">
      <c r="B126">
        <v>381</v>
      </c>
      <c r="C126" s="7">
        <v>44430</v>
      </c>
      <c r="D126" s="8">
        <v>250</v>
      </c>
    </row>
    <row r="127" spans="2:4" x14ac:dyDescent="0.35">
      <c r="B127">
        <v>39</v>
      </c>
      <c r="C127" s="7">
        <v>44429</v>
      </c>
      <c r="D127" s="8">
        <v>350</v>
      </c>
    </row>
    <row r="128" spans="2:4" x14ac:dyDescent="0.35">
      <c r="B128">
        <v>153</v>
      </c>
      <c r="C128" s="7">
        <v>44429</v>
      </c>
      <c r="D128" s="8">
        <v>200</v>
      </c>
    </row>
    <row r="129" spans="2:4" x14ac:dyDescent="0.35">
      <c r="B129">
        <v>378</v>
      </c>
      <c r="C129" s="7">
        <v>44429</v>
      </c>
      <c r="D129" s="8">
        <v>500</v>
      </c>
    </row>
    <row r="130" spans="2:4" x14ac:dyDescent="0.35">
      <c r="B130">
        <v>379</v>
      </c>
      <c r="C130" s="7">
        <v>44429</v>
      </c>
      <c r="D130" s="8">
        <v>500</v>
      </c>
    </row>
    <row r="131" spans="2:4" x14ac:dyDescent="0.35">
      <c r="B131">
        <v>179</v>
      </c>
      <c r="C131" s="7">
        <v>44428</v>
      </c>
      <c r="D131" s="8">
        <v>50</v>
      </c>
    </row>
    <row r="132" spans="2:4" x14ac:dyDescent="0.35">
      <c r="B132">
        <v>201</v>
      </c>
      <c r="C132" s="7">
        <v>44428</v>
      </c>
      <c r="D132" s="8">
        <v>900</v>
      </c>
    </row>
    <row r="133" spans="2:4" x14ac:dyDescent="0.35">
      <c r="B133">
        <v>372</v>
      </c>
      <c r="C133" s="7">
        <v>44428</v>
      </c>
      <c r="D133" s="8">
        <v>1250</v>
      </c>
    </row>
    <row r="134" spans="2:4" x14ac:dyDescent="0.35">
      <c r="B134">
        <v>373</v>
      </c>
      <c r="C134" s="7">
        <v>44428</v>
      </c>
      <c r="D134" s="8">
        <v>250</v>
      </c>
    </row>
    <row r="135" spans="2:4" x14ac:dyDescent="0.35">
      <c r="B135">
        <v>374</v>
      </c>
      <c r="C135" s="7">
        <v>44428</v>
      </c>
      <c r="D135" s="8">
        <v>130</v>
      </c>
    </row>
    <row r="136" spans="2:4" x14ac:dyDescent="0.35">
      <c r="B136">
        <v>375</v>
      </c>
      <c r="C136" s="7">
        <v>44428</v>
      </c>
      <c r="D136" s="8">
        <v>250</v>
      </c>
    </row>
    <row r="137" spans="2:4" x14ac:dyDescent="0.35">
      <c r="B137">
        <v>376</v>
      </c>
      <c r="C137" s="7">
        <v>44428</v>
      </c>
      <c r="D137" s="8">
        <v>250</v>
      </c>
    </row>
    <row r="138" spans="2:4" x14ac:dyDescent="0.35">
      <c r="B138">
        <v>377</v>
      </c>
      <c r="C138" s="7">
        <v>44428</v>
      </c>
      <c r="D138" s="8">
        <v>250</v>
      </c>
    </row>
    <row r="139" spans="2:4" x14ac:dyDescent="0.35">
      <c r="B139">
        <v>370</v>
      </c>
      <c r="C139" s="7">
        <v>44427</v>
      </c>
      <c r="D139" s="8">
        <v>130</v>
      </c>
    </row>
    <row r="140" spans="2:4" x14ac:dyDescent="0.35">
      <c r="B140">
        <v>371</v>
      </c>
      <c r="C140" s="7">
        <v>44427</v>
      </c>
      <c r="D140" s="8">
        <v>250</v>
      </c>
    </row>
    <row r="141" spans="2:4" x14ac:dyDescent="0.35">
      <c r="B141">
        <v>16</v>
      </c>
      <c r="C141" s="7">
        <v>44426</v>
      </c>
      <c r="D141" s="8">
        <v>25</v>
      </c>
    </row>
    <row r="142" spans="2:4" x14ac:dyDescent="0.35">
      <c r="B142">
        <v>210</v>
      </c>
      <c r="C142" s="7">
        <v>44426</v>
      </c>
      <c r="D142" s="8">
        <v>250</v>
      </c>
    </row>
    <row r="143" spans="2:4" x14ac:dyDescent="0.35">
      <c r="B143">
        <v>225</v>
      </c>
      <c r="C143" s="7">
        <v>44426</v>
      </c>
      <c r="D143" s="8">
        <v>125</v>
      </c>
    </row>
    <row r="144" spans="2:4" x14ac:dyDescent="0.35">
      <c r="B144">
        <v>369</v>
      </c>
      <c r="C144" s="7">
        <v>44426</v>
      </c>
      <c r="D144" s="8">
        <v>1000</v>
      </c>
    </row>
    <row r="145" spans="2:4" x14ac:dyDescent="0.35">
      <c r="B145">
        <v>158</v>
      </c>
      <c r="C145" s="7">
        <v>44425</v>
      </c>
      <c r="D145" s="8">
        <v>25</v>
      </c>
    </row>
    <row r="146" spans="2:4" x14ac:dyDescent="0.35">
      <c r="B146">
        <v>365</v>
      </c>
      <c r="C146" s="7">
        <v>44425</v>
      </c>
      <c r="D146" s="8">
        <v>12500</v>
      </c>
    </row>
    <row r="147" spans="2:4" x14ac:dyDescent="0.35">
      <c r="B147">
        <v>366</v>
      </c>
      <c r="C147" s="7">
        <v>44425</v>
      </c>
      <c r="D147" s="8">
        <v>100</v>
      </c>
    </row>
    <row r="148" spans="2:4" x14ac:dyDescent="0.35">
      <c r="B148">
        <v>367</v>
      </c>
      <c r="C148" s="7">
        <v>44425</v>
      </c>
      <c r="D148" s="8">
        <v>500</v>
      </c>
    </row>
    <row r="149" spans="2:4" x14ac:dyDescent="0.35">
      <c r="B149">
        <v>368</v>
      </c>
      <c r="C149" s="7">
        <v>44425</v>
      </c>
      <c r="D149" s="8">
        <v>250</v>
      </c>
    </row>
    <row r="150" spans="2:4" x14ac:dyDescent="0.35">
      <c r="B150">
        <v>151</v>
      </c>
      <c r="C150" s="7">
        <v>44424</v>
      </c>
      <c r="D150" s="8">
        <v>525</v>
      </c>
    </row>
    <row r="151" spans="2:4" x14ac:dyDescent="0.35">
      <c r="B151">
        <v>363</v>
      </c>
      <c r="C151" s="7">
        <v>44424</v>
      </c>
      <c r="D151" s="8">
        <v>2500</v>
      </c>
    </row>
    <row r="152" spans="2:4" x14ac:dyDescent="0.35">
      <c r="B152">
        <v>364</v>
      </c>
      <c r="C152" s="7">
        <v>44424</v>
      </c>
      <c r="D152" s="8">
        <v>500</v>
      </c>
    </row>
    <row r="153" spans="2:4" x14ac:dyDescent="0.35">
      <c r="B153">
        <v>11</v>
      </c>
      <c r="C153" s="7">
        <v>44423</v>
      </c>
      <c r="D153" s="8">
        <v>100</v>
      </c>
    </row>
    <row r="154" spans="2:4" x14ac:dyDescent="0.35">
      <c r="B154">
        <v>95</v>
      </c>
      <c r="C154" s="7">
        <v>44423</v>
      </c>
      <c r="D154" s="8">
        <v>175</v>
      </c>
    </row>
    <row r="155" spans="2:4" x14ac:dyDescent="0.35">
      <c r="B155">
        <v>360</v>
      </c>
      <c r="C155" s="7">
        <v>44423</v>
      </c>
      <c r="D155" s="8">
        <v>500</v>
      </c>
    </row>
    <row r="156" spans="2:4" x14ac:dyDescent="0.35">
      <c r="B156">
        <v>361</v>
      </c>
      <c r="C156" s="7">
        <v>44423</v>
      </c>
      <c r="D156" s="8">
        <v>250</v>
      </c>
    </row>
    <row r="157" spans="2:4" x14ac:dyDescent="0.35">
      <c r="B157">
        <v>362</v>
      </c>
      <c r="C157" s="7">
        <v>44423</v>
      </c>
      <c r="D157" s="8">
        <v>250</v>
      </c>
    </row>
    <row r="158" spans="2:4" x14ac:dyDescent="0.35">
      <c r="B158">
        <v>165</v>
      </c>
      <c r="C158" s="7">
        <v>44422</v>
      </c>
      <c r="D158" s="8">
        <v>75</v>
      </c>
    </row>
    <row r="159" spans="2:4" x14ac:dyDescent="0.35">
      <c r="B159">
        <v>358</v>
      </c>
      <c r="C159" s="7">
        <v>44422</v>
      </c>
      <c r="D159" s="8">
        <v>250</v>
      </c>
    </row>
    <row r="160" spans="2:4" x14ac:dyDescent="0.35">
      <c r="B160">
        <v>359</v>
      </c>
      <c r="C160" s="7">
        <v>44422</v>
      </c>
      <c r="D160" s="8">
        <v>250</v>
      </c>
    </row>
    <row r="161" spans="2:4" x14ac:dyDescent="0.35">
      <c r="B161">
        <v>19</v>
      </c>
      <c r="C161" s="7">
        <v>44421</v>
      </c>
      <c r="D161" s="8">
        <v>75</v>
      </c>
    </row>
    <row r="162" spans="2:4" x14ac:dyDescent="0.35">
      <c r="B162">
        <v>124</v>
      </c>
      <c r="C162" s="7">
        <v>44421</v>
      </c>
      <c r="D162" s="8">
        <v>75</v>
      </c>
    </row>
    <row r="163" spans="2:4" x14ac:dyDescent="0.35">
      <c r="B163">
        <v>355</v>
      </c>
      <c r="C163" s="7">
        <v>44421</v>
      </c>
      <c r="D163" s="8">
        <v>500</v>
      </c>
    </row>
    <row r="164" spans="2:4" x14ac:dyDescent="0.35">
      <c r="B164">
        <v>356</v>
      </c>
      <c r="C164" s="7">
        <v>44421</v>
      </c>
      <c r="D164" s="8">
        <v>250</v>
      </c>
    </row>
    <row r="165" spans="2:4" x14ac:dyDescent="0.35">
      <c r="B165">
        <v>357</v>
      </c>
      <c r="C165" s="7">
        <v>44421</v>
      </c>
      <c r="D165" s="8">
        <v>250</v>
      </c>
    </row>
    <row r="166" spans="2:4" x14ac:dyDescent="0.35">
      <c r="B166">
        <v>46</v>
      </c>
      <c r="C166" s="7">
        <v>44420</v>
      </c>
      <c r="D166" s="8">
        <v>25</v>
      </c>
    </row>
    <row r="167" spans="2:4" x14ac:dyDescent="0.35">
      <c r="B167">
        <v>354</v>
      </c>
      <c r="C167" s="7">
        <v>44420</v>
      </c>
      <c r="D167" s="8">
        <v>250</v>
      </c>
    </row>
    <row r="168" spans="2:4" x14ac:dyDescent="0.35">
      <c r="B168">
        <v>110</v>
      </c>
      <c r="C168" s="7">
        <v>44419</v>
      </c>
      <c r="D168" s="8">
        <v>225</v>
      </c>
    </row>
    <row r="169" spans="2:4" x14ac:dyDescent="0.35">
      <c r="B169">
        <v>224</v>
      </c>
      <c r="C169" s="7">
        <v>44419</v>
      </c>
      <c r="D169" s="8">
        <v>75</v>
      </c>
    </row>
    <row r="170" spans="2:4" x14ac:dyDescent="0.35">
      <c r="B170">
        <v>351</v>
      </c>
      <c r="C170" s="7">
        <v>44419</v>
      </c>
      <c r="D170" s="8">
        <v>50000</v>
      </c>
    </row>
    <row r="171" spans="2:4" x14ac:dyDescent="0.35">
      <c r="B171">
        <v>352</v>
      </c>
      <c r="C171" s="7">
        <v>44419</v>
      </c>
      <c r="D171" s="8">
        <v>500</v>
      </c>
    </row>
    <row r="172" spans="2:4" x14ac:dyDescent="0.35">
      <c r="B172">
        <v>353</v>
      </c>
      <c r="C172" s="7">
        <v>44419</v>
      </c>
      <c r="D172" s="8">
        <v>250</v>
      </c>
    </row>
    <row r="173" spans="2:4" x14ac:dyDescent="0.35">
      <c r="B173">
        <v>144</v>
      </c>
      <c r="C173" s="7">
        <v>44418</v>
      </c>
      <c r="D173" s="8">
        <v>375</v>
      </c>
    </row>
    <row r="174" spans="2:4" x14ac:dyDescent="0.35">
      <c r="B174">
        <v>146</v>
      </c>
      <c r="C174" s="7">
        <v>44418</v>
      </c>
      <c r="D174" s="8">
        <v>125</v>
      </c>
    </row>
    <row r="175" spans="2:4" x14ac:dyDescent="0.35">
      <c r="B175">
        <v>181</v>
      </c>
      <c r="C175" s="7">
        <v>44418</v>
      </c>
      <c r="D175" s="8">
        <v>675</v>
      </c>
    </row>
    <row r="176" spans="2:4" x14ac:dyDescent="0.35">
      <c r="B176">
        <v>223</v>
      </c>
      <c r="C176" s="7">
        <v>44418</v>
      </c>
      <c r="D176" s="8">
        <v>200</v>
      </c>
    </row>
    <row r="177" spans="2:4" x14ac:dyDescent="0.35">
      <c r="B177">
        <v>237</v>
      </c>
      <c r="C177" s="7">
        <v>44418</v>
      </c>
      <c r="D177" s="8">
        <v>225</v>
      </c>
    </row>
    <row r="178" spans="2:4" x14ac:dyDescent="0.35">
      <c r="B178">
        <v>347</v>
      </c>
      <c r="C178" s="7">
        <v>44418</v>
      </c>
      <c r="D178" s="8">
        <v>1250</v>
      </c>
    </row>
    <row r="179" spans="2:4" x14ac:dyDescent="0.35">
      <c r="B179">
        <v>348</v>
      </c>
      <c r="C179" s="7">
        <v>44418</v>
      </c>
      <c r="D179" s="8">
        <v>500</v>
      </c>
    </row>
    <row r="180" spans="2:4" x14ac:dyDescent="0.35">
      <c r="B180">
        <v>349</v>
      </c>
      <c r="C180" s="7">
        <v>44418</v>
      </c>
      <c r="D180" s="8">
        <v>500</v>
      </c>
    </row>
    <row r="181" spans="2:4" x14ac:dyDescent="0.35">
      <c r="B181">
        <v>350</v>
      </c>
      <c r="C181" s="7">
        <v>44418</v>
      </c>
      <c r="D181" s="8">
        <v>250</v>
      </c>
    </row>
    <row r="182" spans="2:4" x14ac:dyDescent="0.35">
      <c r="B182">
        <v>345</v>
      </c>
      <c r="C182" s="7">
        <v>44417</v>
      </c>
      <c r="D182" s="8">
        <v>500</v>
      </c>
    </row>
    <row r="183" spans="2:4" x14ac:dyDescent="0.35">
      <c r="B183">
        <v>346</v>
      </c>
      <c r="C183" s="7">
        <v>44417</v>
      </c>
      <c r="D183" s="8">
        <v>250</v>
      </c>
    </row>
    <row r="184" spans="2:4" x14ac:dyDescent="0.35">
      <c r="B184">
        <v>341</v>
      </c>
      <c r="C184" s="7">
        <v>44416</v>
      </c>
      <c r="D184" s="8">
        <v>500</v>
      </c>
    </row>
    <row r="185" spans="2:4" x14ac:dyDescent="0.35">
      <c r="B185">
        <v>342</v>
      </c>
      <c r="C185" s="7">
        <v>44416</v>
      </c>
      <c r="D185" s="8">
        <v>500</v>
      </c>
    </row>
    <row r="186" spans="2:4" x14ac:dyDescent="0.35">
      <c r="B186">
        <v>343</v>
      </c>
      <c r="C186" s="7">
        <v>44416</v>
      </c>
      <c r="D186" s="8">
        <v>500</v>
      </c>
    </row>
    <row r="187" spans="2:4" x14ac:dyDescent="0.35">
      <c r="B187">
        <v>344</v>
      </c>
      <c r="C187" s="7">
        <v>44416</v>
      </c>
      <c r="D187" s="8">
        <v>500</v>
      </c>
    </row>
    <row r="188" spans="2:4" x14ac:dyDescent="0.35">
      <c r="B188">
        <v>241</v>
      </c>
      <c r="C188" s="7">
        <v>44415</v>
      </c>
      <c r="D188" s="8">
        <v>450</v>
      </c>
    </row>
    <row r="189" spans="2:4" x14ac:dyDescent="0.35">
      <c r="B189">
        <v>339</v>
      </c>
      <c r="C189" s="7">
        <v>44415</v>
      </c>
      <c r="D189" s="8">
        <v>10000</v>
      </c>
    </row>
    <row r="190" spans="2:4" x14ac:dyDescent="0.35">
      <c r="B190">
        <v>340</v>
      </c>
      <c r="C190" s="7">
        <v>44415</v>
      </c>
      <c r="D190" s="8">
        <v>12500</v>
      </c>
    </row>
    <row r="191" spans="2:4" x14ac:dyDescent="0.35">
      <c r="B191">
        <v>333</v>
      </c>
      <c r="C191" s="7">
        <v>44414</v>
      </c>
      <c r="D191" s="8">
        <v>250</v>
      </c>
    </row>
    <row r="192" spans="2:4" x14ac:dyDescent="0.35">
      <c r="B192">
        <v>334</v>
      </c>
      <c r="C192" s="7">
        <v>44414</v>
      </c>
      <c r="D192" s="8">
        <v>500</v>
      </c>
    </row>
    <row r="193" spans="2:4" x14ac:dyDescent="0.35">
      <c r="B193">
        <v>335</v>
      </c>
      <c r="C193" s="7">
        <v>44414</v>
      </c>
      <c r="D193" s="8">
        <v>500</v>
      </c>
    </row>
    <row r="194" spans="2:4" x14ac:dyDescent="0.35">
      <c r="B194">
        <v>336</v>
      </c>
      <c r="C194" s="7">
        <v>44414</v>
      </c>
      <c r="D194" s="8">
        <v>250</v>
      </c>
    </row>
    <row r="195" spans="2:4" x14ac:dyDescent="0.35">
      <c r="B195">
        <v>337</v>
      </c>
      <c r="C195" s="7">
        <v>44414</v>
      </c>
      <c r="D195" s="8">
        <v>250</v>
      </c>
    </row>
    <row r="196" spans="2:4" x14ac:dyDescent="0.35">
      <c r="B196">
        <v>338</v>
      </c>
      <c r="C196" s="7">
        <v>44414</v>
      </c>
      <c r="D196" s="8">
        <v>250</v>
      </c>
    </row>
    <row r="197" spans="2:4" x14ac:dyDescent="0.35">
      <c r="B197">
        <v>56</v>
      </c>
      <c r="C197" s="7">
        <v>44413</v>
      </c>
      <c r="D197" s="8">
        <v>50</v>
      </c>
    </row>
    <row r="198" spans="2:4" x14ac:dyDescent="0.35">
      <c r="B198">
        <v>115</v>
      </c>
      <c r="C198" s="7">
        <v>44413</v>
      </c>
      <c r="D198" s="8">
        <v>4500</v>
      </c>
    </row>
    <row r="199" spans="2:4" x14ac:dyDescent="0.35">
      <c r="B199">
        <v>215</v>
      </c>
      <c r="C199" s="7">
        <v>44413</v>
      </c>
      <c r="D199" s="8">
        <v>250</v>
      </c>
    </row>
    <row r="200" spans="2:4" x14ac:dyDescent="0.35">
      <c r="B200">
        <v>331</v>
      </c>
      <c r="C200" s="7">
        <v>44413</v>
      </c>
      <c r="D200" s="8">
        <v>250</v>
      </c>
    </row>
    <row r="201" spans="2:4" x14ac:dyDescent="0.35">
      <c r="B201">
        <v>332</v>
      </c>
      <c r="C201" s="7">
        <v>44413</v>
      </c>
      <c r="D201" s="8">
        <v>250</v>
      </c>
    </row>
    <row r="202" spans="2:4" x14ac:dyDescent="0.35">
      <c r="B202">
        <v>114</v>
      </c>
      <c r="C202" s="7">
        <v>44412</v>
      </c>
      <c r="D202" s="8">
        <v>100</v>
      </c>
    </row>
    <row r="203" spans="2:4" x14ac:dyDescent="0.35">
      <c r="B203">
        <v>131</v>
      </c>
      <c r="C203" s="7">
        <v>44412</v>
      </c>
      <c r="D203" s="8">
        <v>1575</v>
      </c>
    </row>
    <row r="204" spans="2:4" x14ac:dyDescent="0.35">
      <c r="B204">
        <v>188</v>
      </c>
      <c r="C204" s="7">
        <v>44412</v>
      </c>
      <c r="D204" s="8">
        <v>25</v>
      </c>
    </row>
    <row r="205" spans="2:4" x14ac:dyDescent="0.35">
      <c r="B205">
        <v>232</v>
      </c>
      <c r="C205" s="7">
        <v>44412</v>
      </c>
      <c r="D205" s="8">
        <v>2250</v>
      </c>
    </row>
    <row r="206" spans="2:4" x14ac:dyDescent="0.35">
      <c r="B206">
        <v>330</v>
      </c>
      <c r="C206" s="7">
        <v>44412</v>
      </c>
      <c r="D206" s="8">
        <v>250</v>
      </c>
    </row>
    <row r="207" spans="2:4" x14ac:dyDescent="0.35">
      <c r="B207">
        <v>10</v>
      </c>
      <c r="C207" s="7">
        <v>44411</v>
      </c>
      <c r="D207" s="8">
        <v>1050</v>
      </c>
    </row>
    <row r="208" spans="2:4" x14ac:dyDescent="0.35">
      <c r="B208">
        <v>326</v>
      </c>
      <c r="C208" s="7">
        <v>44411</v>
      </c>
      <c r="D208" s="8">
        <v>1000</v>
      </c>
    </row>
    <row r="209" spans="2:4" x14ac:dyDescent="0.35">
      <c r="B209">
        <v>327</v>
      </c>
      <c r="C209" s="7">
        <v>44411</v>
      </c>
      <c r="D209" s="8">
        <v>500</v>
      </c>
    </row>
    <row r="210" spans="2:4" x14ac:dyDescent="0.35">
      <c r="B210">
        <v>328</v>
      </c>
      <c r="C210" s="7">
        <v>44411</v>
      </c>
      <c r="D210" s="8">
        <v>250</v>
      </c>
    </row>
    <row r="211" spans="2:4" x14ac:dyDescent="0.35">
      <c r="B211">
        <v>329</v>
      </c>
      <c r="C211" s="7">
        <v>44411</v>
      </c>
      <c r="D211" s="8">
        <v>250</v>
      </c>
    </row>
    <row r="212" spans="2:4" x14ac:dyDescent="0.35">
      <c r="B212">
        <v>319</v>
      </c>
      <c r="C212" s="7">
        <v>44410</v>
      </c>
      <c r="D212" s="8">
        <v>2500</v>
      </c>
    </row>
    <row r="213" spans="2:4" x14ac:dyDescent="0.35">
      <c r="B213">
        <v>320</v>
      </c>
      <c r="C213" s="7">
        <v>44410</v>
      </c>
      <c r="D213" s="8">
        <v>500</v>
      </c>
    </row>
    <row r="214" spans="2:4" x14ac:dyDescent="0.35">
      <c r="B214">
        <v>321</v>
      </c>
      <c r="C214" s="7">
        <v>44410</v>
      </c>
      <c r="D214" s="8">
        <v>500</v>
      </c>
    </row>
    <row r="215" spans="2:4" x14ac:dyDescent="0.35">
      <c r="B215">
        <v>322</v>
      </c>
      <c r="C215" s="7">
        <v>44410</v>
      </c>
      <c r="D215" s="8">
        <v>250</v>
      </c>
    </row>
    <row r="216" spans="2:4" x14ac:dyDescent="0.35">
      <c r="B216">
        <v>323</v>
      </c>
      <c r="C216" s="7">
        <v>44410</v>
      </c>
      <c r="D216" s="8">
        <v>250</v>
      </c>
    </row>
    <row r="217" spans="2:4" x14ac:dyDescent="0.35">
      <c r="B217">
        <v>324</v>
      </c>
      <c r="C217" s="7">
        <v>44410</v>
      </c>
      <c r="D217" s="8">
        <v>250</v>
      </c>
    </row>
    <row r="218" spans="2:4" x14ac:dyDescent="0.35">
      <c r="B218">
        <v>325</v>
      </c>
      <c r="C218" s="7">
        <v>44410</v>
      </c>
      <c r="D218" s="8">
        <v>250</v>
      </c>
    </row>
    <row r="219" spans="2:4" x14ac:dyDescent="0.35">
      <c r="B219">
        <v>32</v>
      </c>
      <c r="C219" s="7">
        <v>44409</v>
      </c>
      <c r="D219" s="8">
        <v>75</v>
      </c>
    </row>
    <row r="220" spans="2:4" x14ac:dyDescent="0.35">
      <c r="B220">
        <v>128</v>
      </c>
      <c r="C220" s="7">
        <v>44409</v>
      </c>
      <c r="D220" s="8">
        <v>50</v>
      </c>
    </row>
    <row r="221" spans="2:4" x14ac:dyDescent="0.35">
      <c r="B221">
        <v>317</v>
      </c>
      <c r="C221" s="7">
        <v>44409</v>
      </c>
      <c r="D221" s="8">
        <v>500</v>
      </c>
    </row>
    <row r="222" spans="2:4" x14ac:dyDescent="0.35">
      <c r="B222">
        <v>318</v>
      </c>
      <c r="C222" s="7">
        <v>44409</v>
      </c>
      <c r="D222" s="8">
        <v>250</v>
      </c>
    </row>
    <row r="223" spans="2:4" x14ac:dyDescent="0.35">
      <c r="B223">
        <v>149</v>
      </c>
      <c r="C223" s="7">
        <v>44408</v>
      </c>
      <c r="D223" s="8">
        <v>75</v>
      </c>
    </row>
    <row r="224" spans="2:4" x14ac:dyDescent="0.35">
      <c r="B224">
        <v>310</v>
      </c>
      <c r="C224" s="7">
        <v>44408</v>
      </c>
      <c r="D224" s="8">
        <v>1000</v>
      </c>
    </row>
    <row r="225" spans="2:4" x14ac:dyDescent="0.35">
      <c r="B225">
        <v>311</v>
      </c>
      <c r="C225" s="7">
        <v>44408</v>
      </c>
      <c r="D225" s="8">
        <v>500</v>
      </c>
    </row>
    <row r="226" spans="2:4" x14ac:dyDescent="0.35">
      <c r="B226">
        <v>312</v>
      </c>
      <c r="C226" s="7">
        <v>44408</v>
      </c>
      <c r="D226" s="8">
        <v>1000</v>
      </c>
    </row>
    <row r="227" spans="2:4" x14ac:dyDescent="0.35">
      <c r="B227">
        <v>313</v>
      </c>
      <c r="C227" s="7">
        <v>44408</v>
      </c>
      <c r="D227" s="8">
        <v>500</v>
      </c>
    </row>
    <row r="228" spans="2:4" x14ac:dyDescent="0.35">
      <c r="B228">
        <v>314</v>
      </c>
      <c r="C228" s="7">
        <v>44408</v>
      </c>
      <c r="D228" s="8">
        <v>250</v>
      </c>
    </row>
    <row r="229" spans="2:4" x14ac:dyDescent="0.35">
      <c r="B229">
        <v>315</v>
      </c>
      <c r="C229" s="7">
        <v>44408</v>
      </c>
      <c r="D229" s="8">
        <v>130</v>
      </c>
    </row>
    <row r="230" spans="2:4" x14ac:dyDescent="0.35">
      <c r="B230">
        <v>316</v>
      </c>
      <c r="C230" s="7">
        <v>44408</v>
      </c>
      <c r="D230" s="8">
        <v>130</v>
      </c>
    </row>
    <row r="231" spans="2:4" x14ac:dyDescent="0.35">
      <c r="B231">
        <v>308</v>
      </c>
      <c r="C231" s="7">
        <v>44407</v>
      </c>
      <c r="D231" s="8">
        <v>1250</v>
      </c>
    </row>
    <row r="232" spans="2:4" x14ac:dyDescent="0.35">
      <c r="B232">
        <v>309</v>
      </c>
      <c r="C232" s="7">
        <v>44407</v>
      </c>
      <c r="D232" s="8">
        <v>500</v>
      </c>
    </row>
    <row r="233" spans="2:4" x14ac:dyDescent="0.35">
      <c r="B233">
        <v>30</v>
      </c>
      <c r="C233" s="7">
        <v>44406</v>
      </c>
      <c r="D233" s="8">
        <v>18750</v>
      </c>
    </row>
    <row r="234" spans="2:4" x14ac:dyDescent="0.35">
      <c r="B234">
        <v>305</v>
      </c>
      <c r="C234" s="7">
        <v>44406</v>
      </c>
      <c r="D234" s="8">
        <v>1000</v>
      </c>
    </row>
    <row r="235" spans="2:4" x14ac:dyDescent="0.35">
      <c r="B235">
        <v>306</v>
      </c>
      <c r="C235" s="7">
        <v>44406</v>
      </c>
      <c r="D235" s="8">
        <v>250</v>
      </c>
    </row>
    <row r="236" spans="2:4" x14ac:dyDescent="0.35">
      <c r="B236">
        <v>307</v>
      </c>
      <c r="C236" s="7">
        <v>44406</v>
      </c>
      <c r="D236" s="8">
        <v>250</v>
      </c>
    </row>
    <row r="237" spans="2:4" x14ac:dyDescent="0.35">
      <c r="B237">
        <v>139</v>
      </c>
      <c r="C237" s="7">
        <v>44405</v>
      </c>
      <c r="D237" s="8">
        <v>200</v>
      </c>
    </row>
    <row r="238" spans="2:4" x14ac:dyDescent="0.35">
      <c r="B238">
        <v>176</v>
      </c>
      <c r="C238" s="7">
        <v>44405</v>
      </c>
      <c r="D238" s="8">
        <v>125</v>
      </c>
    </row>
    <row r="239" spans="2:4" x14ac:dyDescent="0.35">
      <c r="B239">
        <v>302</v>
      </c>
      <c r="C239" s="7">
        <v>44405</v>
      </c>
      <c r="D239" s="8">
        <v>1000</v>
      </c>
    </row>
    <row r="240" spans="2:4" x14ac:dyDescent="0.35">
      <c r="B240">
        <v>303</v>
      </c>
      <c r="C240" s="7">
        <v>44405</v>
      </c>
      <c r="D240" s="8">
        <v>250</v>
      </c>
    </row>
    <row r="241" spans="2:4" x14ac:dyDescent="0.35">
      <c r="B241">
        <v>304</v>
      </c>
      <c r="C241" s="7">
        <v>44405</v>
      </c>
      <c r="D241" s="8">
        <v>250</v>
      </c>
    </row>
    <row r="242" spans="2:4" x14ac:dyDescent="0.35">
      <c r="B242">
        <v>228</v>
      </c>
      <c r="C242" s="7">
        <v>44404</v>
      </c>
      <c r="D242" s="8">
        <v>1875</v>
      </c>
    </row>
    <row r="243" spans="2:4" x14ac:dyDescent="0.35">
      <c r="B243">
        <v>298</v>
      </c>
      <c r="C243" s="7">
        <v>44404</v>
      </c>
      <c r="D243" s="8">
        <v>25000</v>
      </c>
    </row>
    <row r="244" spans="2:4" x14ac:dyDescent="0.35">
      <c r="B244">
        <v>299</v>
      </c>
      <c r="C244" s="7">
        <v>44404</v>
      </c>
      <c r="D244" s="8">
        <v>500</v>
      </c>
    </row>
    <row r="245" spans="2:4" x14ac:dyDescent="0.35">
      <c r="B245">
        <v>300</v>
      </c>
      <c r="C245" s="7">
        <v>44404</v>
      </c>
      <c r="D245" s="8">
        <v>130</v>
      </c>
    </row>
    <row r="246" spans="2:4" x14ac:dyDescent="0.35">
      <c r="B246">
        <v>301</v>
      </c>
      <c r="C246" s="7">
        <v>44404</v>
      </c>
      <c r="D246" s="8">
        <v>250</v>
      </c>
    </row>
    <row r="247" spans="2:4" x14ac:dyDescent="0.35">
      <c r="B247">
        <v>296</v>
      </c>
      <c r="C247" s="7">
        <v>44403</v>
      </c>
      <c r="D247" s="8">
        <v>500</v>
      </c>
    </row>
    <row r="248" spans="2:4" x14ac:dyDescent="0.35">
      <c r="B248">
        <v>297</v>
      </c>
      <c r="C248" s="7">
        <v>44403</v>
      </c>
      <c r="D248" s="8">
        <v>500</v>
      </c>
    </row>
    <row r="249" spans="2:4" x14ac:dyDescent="0.35">
      <c r="B249">
        <v>60</v>
      </c>
      <c r="C249" s="7">
        <v>44402</v>
      </c>
      <c r="D249" s="8">
        <v>50</v>
      </c>
    </row>
    <row r="250" spans="2:4" x14ac:dyDescent="0.35">
      <c r="B250">
        <v>294</v>
      </c>
      <c r="C250" s="7">
        <v>44402</v>
      </c>
      <c r="D250" s="8">
        <v>630</v>
      </c>
    </row>
    <row r="251" spans="2:4" x14ac:dyDescent="0.35">
      <c r="B251">
        <v>295</v>
      </c>
      <c r="C251" s="7">
        <v>44402</v>
      </c>
      <c r="D251" s="8">
        <v>250</v>
      </c>
    </row>
    <row r="252" spans="2:4" x14ac:dyDescent="0.35">
      <c r="B252">
        <v>293</v>
      </c>
      <c r="C252" s="7">
        <v>44401</v>
      </c>
      <c r="D252" s="8">
        <v>250</v>
      </c>
    </row>
    <row r="253" spans="2:4" x14ac:dyDescent="0.35">
      <c r="B253">
        <v>292</v>
      </c>
      <c r="C253" s="7">
        <v>44400</v>
      </c>
      <c r="D253" s="8">
        <v>500</v>
      </c>
    </row>
    <row r="254" spans="2:4" x14ac:dyDescent="0.35">
      <c r="B254">
        <v>47</v>
      </c>
      <c r="C254" s="7">
        <v>44399</v>
      </c>
      <c r="D254" s="8">
        <v>50</v>
      </c>
    </row>
    <row r="255" spans="2:4" x14ac:dyDescent="0.35">
      <c r="B255">
        <v>102</v>
      </c>
      <c r="C255" s="7">
        <v>44399</v>
      </c>
      <c r="D255" s="8">
        <v>4500</v>
      </c>
    </row>
    <row r="256" spans="2:4" x14ac:dyDescent="0.35">
      <c r="B256">
        <v>290</v>
      </c>
      <c r="C256" s="7">
        <v>44399</v>
      </c>
      <c r="D256" s="8">
        <v>500</v>
      </c>
    </row>
    <row r="257" spans="2:4" x14ac:dyDescent="0.35">
      <c r="B257">
        <v>291</v>
      </c>
      <c r="C257" s="7">
        <v>44399</v>
      </c>
      <c r="D257" s="8">
        <v>250</v>
      </c>
    </row>
    <row r="258" spans="2:4" x14ac:dyDescent="0.35">
      <c r="B258">
        <v>286</v>
      </c>
      <c r="C258" s="7">
        <v>44397</v>
      </c>
      <c r="D258" s="8">
        <v>250</v>
      </c>
    </row>
    <row r="259" spans="2:4" x14ac:dyDescent="0.35">
      <c r="B259">
        <v>287</v>
      </c>
      <c r="C259" s="7">
        <v>44397</v>
      </c>
      <c r="D259" s="8">
        <v>500</v>
      </c>
    </row>
    <row r="260" spans="2:4" x14ac:dyDescent="0.35">
      <c r="B260">
        <v>288</v>
      </c>
      <c r="C260" s="7">
        <v>44397</v>
      </c>
      <c r="D260" s="8">
        <v>250</v>
      </c>
    </row>
    <row r="261" spans="2:4" x14ac:dyDescent="0.35">
      <c r="B261">
        <v>289</v>
      </c>
      <c r="C261" s="7">
        <v>44397</v>
      </c>
      <c r="D261" s="8">
        <v>250</v>
      </c>
    </row>
    <row r="262" spans="2:4" x14ac:dyDescent="0.35">
      <c r="B262">
        <v>284</v>
      </c>
      <c r="C262" s="7">
        <v>44396</v>
      </c>
      <c r="D262" s="8">
        <v>250</v>
      </c>
    </row>
    <row r="263" spans="2:4" x14ac:dyDescent="0.35">
      <c r="B263">
        <v>285</v>
      </c>
      <c r="C263" s="7">
        <v>44396</v>
      </c>
      <c r="D263" s="8">
        <v>250</v>
      </c>
    </row>
    <row r="264" spans="2:4" x14ac:dyDescent="0.35">
      <c r="B264">
        <v>282</v>
      </c>
      <c r="C264" s="7">
        <v>44395</v>
      </c>
      <c r="D264" s="8">
        <v>250</v>
      </c>
    </row>
    <row r="265" spans="2:4" x14ac:dyDescent="0.35">
      <c r="B265">
        <v>283</v>
      </c>
      <c r="C265" s="7">
        <v>44395</v>
      </c>
      <c r="D265" s="8">
        <v>250</v>
      </c>
    </row>
    <row r="266" spans="2:4" x14ac:dyDescent="0.35">
      <c r="B266">
        <v>101</v>
      </c>
      <c r="C266" s="7">
        <v>44394</v>
      </c>
      <c r="D266" s="8">
        <v>25</v>
      </c>
    </row>
    <row r="267" spans="2:4" x14ac:dyDescent="0.35">
      <c r="B267">
        <v>155</v>
      </c>
      <c r="C267" s="7">
        <v>44394</v>
      </c>
      <c r="D267" s="8">
        <v>100</v>
      </c>
    </row>
    <row r="268" spans="2:4" x14ac:dyDescent="0.35">
      <c r="B268">
        <v>173</v>
      </c>
      <c r="C268" s="7">
        <v>44394</v>
      </c>
      <c r="D268" s="8">
        <v>225</v>
      </c>
    </row>
    <row r="269" spans="2:4" x14ac:dyDescent="0.35">
      <c r="B269">
        <v>278</v>
      </c>
      <c r="C269" s="7">
        <v>44394</v>
      </c>
      <c r="D269" s="8">
        <v>250</v>
      </c>
    </row>
    <row r="270" spans="2:4" x14ac:dyDescent="0.35">
      <c r="B270">
        <v>279</v>
      </c>
      <c r="C270" s="7">
        <v>44394</v>
      </c>
      <c r="D270" s="8">
        <v>500</v>
      </c>
    </row>
    <row r="271" spans="2:4" x14ac:dyDescent="0.35">
      <c r="B271">
        <v>280</v>
      </c>
      <c r="C271" s="7">
        <v>44394</v>
      </c>
      <c r="D271" s="8">
        <v>500</v>
      </c>
    </row>
    <row r="272" spans="2:4" x14ac:dyDescent="0.35">
      <c r="B272">
        <v>281</v>
      </c>
      <c r="C272" s="7">
        <v>44394</v>
      </c>
      <c r="D272" s="8">
        <v>250</v>
      </c>
    </row>
    <row r="273" spans="2:4" x14ac:dyDescent="0.35">
      <c r="B273">
        <v>275</v>
      </c>
      <c r="C273" s="7">
        <v>44393</v>
      </c>
      <c r="D273" s="8">
        <v>10000</v>
      </c>
    </row>
    <row r="274" spans="2:4" x14ac:dyDescent="0.35">
      <c r="B274">
        <v>276</v>
      </c>
      <c r="C274" s="7">
        <v>44393</v>
      </c>
      <c r="D274" s="8">
        <v>250</v>
      </c>
    </row>
    <row r="275" spans="2:4" x14ac:dyDescent="0.35">
      <c r="B275">
        <v>277</v>
      </c>
      <c r="C275" s="7">
        <v>44393</v>
      </c>
      <c r="D275" s="8">
        <v>250</v>
      </c>
    </row>
    <row r="276" spans="2:4" x14ac:dyDescent="0.35">
      <c r="B276">
        <v>39</v>
      </c>
      <c r="C276" s="7">
        <v>44392</v>
      </c>
      <c r="D276" s="8">
        <v>2000</v>
      </c>
    </row>
    <row r="277" spans="2:4" x14ac:dyDescent="0.35">
      <c r="B277">
        <v>121</v>
      </c>
      <c r="C277" s="7">
        <v>44391</v>
      </c>
      <c r="D277" s="8">
        <v>250</v>
      </c>
    </row>
    <row r="278" spans="2:4" x14ac:dyDescent="0.35">
      <c r="B278">
        <v>187</v>
      </c>
      <c r="C278" s="7">
        <v>44391</v>
      </c>
      <c r="D278" s="8">
        <v>375</v>
      </c>
    </row>
    <row r="279" spans="2:4" x14ac:dyDescent="0.35">
      <c r="B279">
        <v>273</v>
      </c>
      <c r="C279" s="7">
        <v>44391</v>
      </c>
      <c r="D279" s="8">
        <v>500</v>
      </c>
    </row>
    <row r="280" spans="2:4" x14ac:dyDescent="0.35">
      <c r="B280">
        <v>274</v>
      </c>
      <c r="C280" s="7">
        <v>44391</v>
      </c>
      <c r="D280" s="8">
        <v>250</v>
      </c>
    </row>
    <row r="281" spans="2:4" x14ac:dyDescent="0.35">
      <c r="B281">
        <v>193</v>
      </c>
      <c r="C281" s="7">
        <v>44390</v>
      </c>
      <c r="D281" s="8">
        <v>75</v>
      </c>
    </row>
    <row r="282" spans="2:4" x14ac:dyDescent="0.35">
      <c r="B282">
        <v>272</v>
      </c>
      <c r="C282" s="7">
        <v>44390</v>
      </c>
      <c r="D282" s="8">
        <v>250</v>
      </c>
    </row>
    <row r="283" spans="2:4" x14ac:dyDescent="0.35">
      <c r="B283">
        <v>19</v>
      </c>
      <c r="C283" s="7">
        <v>44389</v>
      </c>
      <c r="D283" s="8">
        <v>50</v>
      </c>
    </row>
    <row r="284" spans="2:4" x14ac:dyDescent="0.35">
      <c r="B284">
        <v>36</v>
      </c>
      <c r="C284" s="7">
        <v>44389</v>
      </c>
      <c r="D284" s="8">
        <v>175</v>
      </c>
    </row>
    <row r="285" spans="2:4" x14ac:dyDescent="0.35">
      <c r="B285">
        <v>67</v>
      </c>
      <c r="C285" s="7">
        <v>44389</v>
      </c>
      <c r="D285" s="8">
        <v>75</v>
      </c>
    </row>
    <row r="286" spans="2:4" x14ac:dyDescent="0.35">
      <c r="B286">
        <v>148</v>
      </c>
      <c r="C286" s="7">
        <v>44389</v>
      </c>
      <c r="D286" s="8">
        <v>100</v>
      </c>
    </row>
    <row r="287" spans="2:4" x14ac:dyDescent="0.35">
      <c r="B287">
        <v>270</v>
      </c>
      <c r="C287" s="7">
        <v>44389</v>
      </c>
      <c r="D287" s="8">
        <v>250</v>
      </c>
    </row>
    <row r="288" spans="2:4" x14ac:dyDescent="0.35">
      <c r="B288">
        <v>271</v>
      </c>
      <c r="C288" s="7">
        <v>44389</v>
      </c>
      <c r="D288" s="8">
        <v>250</v>
      </c>
    </row>
    <row r="289" spans="2:4" x14ac:dyDescent="0.35">
      <c r="B289">
        <v>122</v>
      </c>
      <c r="C289" s="7">
        <v>44388</v>
      </c>
      <c r="D289" s="8">
        <v>25</v>
      </c>
    </row>
    <row r="290" spans="2:4" x14ac:dyDescent="0.35">
      <c r="B290">
        <v>151</v>
      </c>
      <c r="C290" s="7">
        <v>44388</v>
      </c>
      <c r="D290" s="8">
        <v>375</v>
      </c>
    </row>
    <row r="291" spans="2:4" x14ac:dyDescent="0.35">
      <c r="B291">
        <v>165</v>
      </c>
      <c r="C291" s="7">
        <v>44388</v>
      </c>
      <c r="D291" s="8">
        <v>25</v>
      </c>
    </row>
    <row r="292" spans="2:4" x14ac:dyDescent="0.35">
      <c r="B292">
        <v>267</v>
      </c>
      <c r="C292" s="7">
        <v>44388</v>
      </c>
      <c r="D292" s="8">
        <v>10000</v>
      </c>
    </row>
    <row r="293" spans="2:4" x14ac:dyDescent="0.35">
      <c r="B293">
        <v>268</v>
      </c>
      <c r="C293" s="7">
        <v>44388</v>
      </c>
      <c r="D293" s="8">
        <v>250</v>
      </c>
    </row>
    <row r="294" spans="2:4" x14ac:dyDescent="0.35">
      <c r="B294">
        <v>269</v>
      </c>
      <c r="C294" s="7">
        <v>44388</v>
      </c>
      <c r="D294" s="8">
        <v>250</v>
      </c>
    </row>
    <row r="295" spans="2:4" x14ac:dyDescent="0.35">
      <c r="B295">
        <v>266</v>
      </c>
      <c r="C295" s="7">
        <v>44387</v>
      </c>
      <c r="D295" s="8">
        <v>500</v>
      </c>
    </row>
    <row r="296" spans="2:4" x14ac:dyDescent="0.35">
      <c r="B296">
        <v>24</v>
      </c>
      <c r="C296" s="7">
        <v>44386</v>
      </c>
      <c r="D296" s="8">
        <v>150</v>
      </c>
    </row>
    <row r="297" spans="2:4" x14ac:dyDescent="0.35">
      <c r="B297">
        <v>147</v>
      </c>
      <c r="C297" s="7">
        <v>44386</v>
      </c>
      <c r="D297" s="8">
        <v>200</v>
      </c>
    </row>
    <row r="298" spans="2:4" x14ac:dyDescent="0.35">
      <c r="B298">
        <v>264</v>
      </c>
      <c r="C298" s="7">
        <v>44386</v>
      </c>
      <c r="D298" s="8">
        <v>500</v>
      </c>
    </row>
    <row r="299" spans="2:4" x14ac:dyDescent="0.35">
      <c r="B299">
        <v>265</v>
      </c>
      <c r="C299" s="7">
        <v>44386</v>
      </c>
      <c r="D299" s="8">
        <v>500</v>
      </c>
    </row>
    <row r="300" spans="2:4" x14ac:dyDescent="0.35">
      <c r="B300">
        <v>260</v>
      </c>
      <c r="C300" s="7">
        <v>44385</v>
      </c>
      <c r="D300" s="8">
        <v>1000</v>
      </c>
    </row>
    <row r="301" spans="2:4" x14ac:dyDescent="0.35">
      <c r="B301">
        <v>261</v>
      </c>
      <c r="C301" s="7">
        <v>44385</v>
      </c>
      <c r="D301" s="8">
        <v>1000</v>
      </c>
    </row>
    <row r="302" spans="2:4" x14ac:dyDescent="0.35">
      <c r="B302">
        <v>262</v>
      </c>
      <c r="C302" s="7">
        <v>44385</v>
      </c>
      <c r="D302" s="8">
        <v>250</v>
      </c>
    </row>
    <row r="303" spans="2:4" x14ac:dyDescent="0.35">
      <c r="B303">
        <v>263</v>
      </c>
      <c r="C303" s="7">
        <v>44385</v>
      </c>
      <c r="D303" s="8">
        <v>250</v>
      </c>
    </row>
    <row r="304" spans="2:4" x14ac:dyDescent="0.35">
      <c r="B304">
        <v>63</v>
      </c>
      <c r="C304" s="7">
        <v>44384</v>
      </c>
      <c r="D304" s="8">
        <v>1125</v>
      </c>
    </row>
    <row r="305" spans="2:4" x14ac:dyDescent="0.35">
      <c r="B305">
        <v>124</v>
      </c>
      <c r="C305" s="7">
        <v>44384</v>
      </c>
      <c r="D305" s="8">
        <v>400</v>
      </c>
    </row>
    <row r="306" spans="2:4" x14ac:dyDescent="0.35">
      <c r="B306">
        <v>257</v>
      </c>
      <c r="C306" s="7">
        <v>44384</v>
      </c>
      <c r="D306" s="8">
        <v>130</v>
      </c>
    </row>
    <row r="307" spans="2:4" x14ac:dyDescent="0.35">
      <c r="B307">
        <v>258</v>
      </c>
      <c r="C307" s="7">
        <v>44384</v>
      </c>
      <c r="D307" s="8">
        <v>500</v>
      </c>
    </row>
    <row r="308" spans="2:4" x14ac:dyDescent="0.35">
      <c r="B308">
        <v>259</v>
      </c>
      <c r="C308" s="7">
        <v>44384</v>
      </c>
      <c r="D308" s="8">
        <v>250</v>
      </c>
    </row>
    <row r="309" spans="2:4" x14ac:dyDescent="0.35">
      <c r="B309">
        <v>1</v>
      </c>
      <c r="C309" s="7">
        <v>44383</v>
      </c>
      <c r="D309" s="8">
        <v>500</v>
      </c>
    </row>
    <row r="310" spans="2:4" x14ac:dyDescent="0.35">
      <c r="B310">
        <v>79</v>
      </c>
      <c r="C310" s="7">
        <v>44383</v>
      </c>
      <c r="D310" s="8">
        <v>175</v>
      </c>
    </row>
    <row r="311" spans="2:4" x14ac:dyDescent="0.35">
      <c r="B311">
        <v>86</v>
      </c>
      <c r="C311" s="7">
        <v>44383</v>
      </c>
      <c r="D311" s="8">
        <v>3750</v>
      </c>
    </row>
    <row r="312" spans="2:4" x14ac:dyDescent="0.35">
      <c r="B312">
        <v>141</v>
      </c>
      <c r="C312" s="7">
        <v>44383</v>
      </c>
      <c r="D312" s="8">
        <v>2250</v>
      </c>
    </row>
    <row r="313" spans="2:4" x14ac:dyDescent="0.35">
      <c r="B313">
        <v>253</v>
      </c>
      <c r="C313" s="7">
        <v>44383</v>
      </c>
      <c r="D313" s="8">
        <v>250</v>
      </c>
    </row>
    <row r="314" spans="2:4" x14ac:dyDescent="0.35">
      <c r="B314">
        <v>254</v>
      </c>
      <c r="C314" s="7">
        <v>44383</v>
      </c>
      <c r="D314" s="8">
        <v>250</v>
      </c>
    </row>
    <row r="315" spans="2:4" x14ac:dyDescent="0.35">
      <c r="B315">
        <v>255</v>
      </c>
      <c r="C315" s="7">
        <v>44383</v>
      </c>
      <c r="D315" s="8">
        <v>250</v>
      </c>
    </row>
    <row r="316" spans="2:4" x14ac:dyDescent="0.35">
      <c r="B316">
        <v>256</v>
      </c>
      <c r="C316" s="7">
        <v>44383</v>
      </c>
      <c r="D316" s="8">
        <v>250</v>
      </c>
    </row>
    <row r="317" spans="2:4" x14ac:dyDescent="0.35">
      <c r="B317">
        <v>85</v>
      </c>
      <c r="C317" s="7">
        <v>44382</v>
      </c>
      <c r="D317" s="8">
        <v>50</v>
      </c>
    </row>
    <row r="318" spans="2:4" x14ac:dyDescent="0.35">
      <c r="B318">
        <v>140</v>
      </c>
      <c r="C318" s="7">
        <v>44382</v>
      </c>
      <c r="D318" s="8">
        <v>125</v>
      </c>
    </row>
    <row r="319" spans="2:4" x14ac:dyDescent="0.35">
      <c r="B319">
        <v>251</v>
      </c>
      <c r="C319" s="7">
        <v>44381</v>
      </c>
      <c r="D319" s="8">
        <v>500</v>
      </c>
    </row>
    <row r="320" spans="2:4" x14ac:dyDescent="0.35">
      <c r="B320">
        <v>252</v>
      </c>
      <c r="C320" s="7">
        <v>44381</v>
      </c>
      <c r="D320" s="8">
        <v>250</v>
      </c>
    </row>
    <row r="321" spans="2:4" x14ac:dyDescent="0.35">
      <c r="B321">
        <v>108</v>
      </c>
      <c r="C321" s="7">
        <v>44380</v>
      </c>
      <c r="D321" s="8">
        <v>175</v>
      </c>
    </row>
    <row r="322" spans="2:4" x14ac:dyDescent="0.35">
      <c r="B322">
        <v>250</v>
      </c>
      <c r="C322" s="7">
        <v>44380</v>
      </c>
      <c r="D322" s="8">
        <v>250</v>
      </c>
    </row>
    <row r="323" spans="2:4" x14ac:dyDescent="0.35">
      <c r="B323">
        <v>7</v>
      </c>
      <c r="C323" s="7">
        <v>44379</v>
      </c>
      <c r="D323" s="8">
        <v>25</v>
      </c>
    </row>
    <row r="324" spans="2:4" x14ac:dyDescent="0.35">
      <c r="B324">
        <v>95</v>
      </c>
      <c r="C324" s="7">
        <v>44379</v>
      </c>
      <c r="D324" s="8">
        <v>75</v>
      </c>
    </row>
    <row r="325" spans="2:4" x14ac:dyDescent="0.35">
      <c r="B325">
        <v>248</v>
      </c>
      <c r="C325" s="7">
        <v>44379</v>
      </c>
      <c r="D325" s="8">
        <v>1000</v>
      </c>
    </row>
    <row r="326" spans="2:4" x14ac:dyDescent="0.35">
      <c r="B326">
        <v>249</v>
      </c>
      <c r="C326" s="7">
        <v>44379</v>
      </c>
      <c r="D326" s="8">
        <v>500</v>
      </c>
    </row>
    <row r="327" spans="2:4" x14ac:dyDescent="0.35">
      <c r="B327">
        <v>91</v>
      </c>
      <c r="C327" s="7">
        <v>44378</v>
      </c>
      <c r="D327" s="8">
        <v>225</v>
      </c>
    </row>
    <row r="328" spans="2:4" x14ac:dyDescent="0.35">
      <c r="B328">
        <v>103</v>
      </c>
      <c r="C328" s="7">
        <v>44378</v>
      </c>
      <c r="D328" s="8">
        <v>750</v>
      </c>
    </row>
    <row r="329" spans="2:4" x14ac:dyDescent="0.35">
      <c r="B329">
        <v>9</v>
      </c>
      <c r="C329" s="7">
        <v>44377</v>
      </c>
      <c r="D329" s="8">
        <v>3750</v>
      </c>
    </row>
    <row r="330" spans="2:4" x14ac:dyDescent="0.35">
      <c r="B330">
        <v>78</v>
      </c>
      <c r="C330" s="7">
        <v>44377</v>
      </c>
      <c r="D330" s="8">
        <v>500</v>
      </c>
    </row>
    <row r="331" spans="2:4" x14ac:dyDescent="0.35">
      <c r="B331">
        <v>80</v>
      </c>
      <c r="C331" s="7">
        <v>44377</v>
      </c>
      <c r="D331" s="8">
        <v>100</v>
      </c>
    </row>
    <row r="332" spans="2:4" x14ac:dyDescent="0.35">
      <c r="B332">
        <v>246</v>
      </c>
      <c r="C332" s="7">
        <v>44377</v>
      </c>
      <c r="D332" s="8">
        <v>250</v>
      </c>
    </row>
    <row r="333" spans="2:4" x14ac:dyDescent="0.35">
      <c r="B333">
        <v>247</v>
      </c>
      <c r="C333" s="7">
        <v>44377</v>
      </c>
      <c r="D333" s="8">
        <v>250</v>
      </c>
    </row>
    <row r="334" spans="2:4" x14ac:dyDescent="0.35">
      <c r="B334">
        <v>17</v>
      </c>
      <c r="C334" s="7">
        <v>44375</v>
      </c>
      <c r="D334" s="8">
        <v>125</v>
      </c>
    </row>
    <row r="335" spans="2:4" x14ac:dyDescent="0.35">
      <c r="B335">
        <v>25</v>
      </c>
      <c r="C335" s="7">
        <v>44375</v>
      </c>
      <c r="D335" s="8">
        <v>75</v>
      </c>
    </row>
    <row r="336" spans="2:4" x14ac:dyDescent="0.35">
      <c r="B336">
        <v>110</v>
      </c>
      <c r="C336" s="7">
        <v>44375</v>
      </c>
      <c r="D336" s="8">
        <v>3000</v>
      </c>
    </row>
    <row r="337" spans="2:4" x14ac:dyDescent="0.35">
      <c r="B337">
        <v>240</v>
      </c>
      <c r="C337" s="7">
        <v>44375</v>
      </c>
      <c r="D337" s="8">
        <v>500</v>
      </c>
    </row>
    <row r="338" spans="2:4" x14ac:dyDescent="0.35">
      <c r="B338">
        <v>241</v>
      </c>
      <c r="C338" s="7">
        <v>44375</v>
      </c>
      <c r="D338" s="8">
        <v>250</v>
      </c>
    </row>
    <row r="339" spans="2:4" x14ac:dyDescent="0.35">
      <c r="B339">
        <v>242</v>
      </c>
      <c r="C339" s="7">
        <v>44375</v>
      </c>
      <c r="D339" s="8">
        <v>250</v>
      </c>
    </row>
    <row r="340" spans="2:4" x14ac:dyDescent="0.35">
      <c r="B340">
        <v>243</v>
      </c>
      <c r="C340" s="7">
        <v>44375</v>
      </c>
      <c r="D340" s="8">
        <v>500</v>
      </c>
    </row>
    <row r="341" spans="2:4" x14ac:dyDescent="0.35">
      <c r="B341">
        <v>244</v>
      </c>
      <c r="C341" s="7">
        <v>44375</v>
      </c>
      <c r="D341" s="8">
        <v>500</v>
      </c>
    </row>
    <row r="342" spans="2:4" x14ac:dyDescent="0.35">
      <c r="B342">
        <v>245</v>
      </c>
      <c r="C342" s="7">
        <v>44375</v>
      </c>
      <c r="D342" s="8">
        <v>250</v>
      </c>
    </row>
    <row r="343" spans="2:4" x14ac:dyDescent="0.35">
      <c r="B343">
        <v>114</v>
      </c>
      <c r="C343" s="7">
        <v>44374</v>
      </c>
      <c r="D343" s="8">
        <v>25</v>
      </c>
    </row>
    <row r="344" spans="2:4" x14ac:dyDescent="0.35">
      <c r="B344">
        <v>239</v>
      </c>
      <c r="C344" s="7">
        <v>44374</v>
      </c>
      <c r="D344" s="8">
        <v>2500</v>
      </c>
    </row>
    <row r="345" spans="2:4" x14ac:dyDescent="0.35">
      <c r="B345">
        <v>238</v>
      </c>
      <c r="C345" s="7">
        <v>44373</v>
      </c>
      <c r="D345" s="8">
        <v>130</v>
      </c>
    </row>
    <row r="346" spans="2:4" x14ac:dyDescent="0.35">
      <c r="B346">
        <v>134</v>
      </c>
      <c r="C346" s="7">
        <v>44372</v>
      </c>
      <c r="D346" s="8">
        <v>675</v>
      </c>
    </row>
    <row r="347" spans="2:4" x14ac:dyDescent="0.35">
      <c r="B347">
        <v>235</v>
      </c>
      <c r="C347" s="7">
        <v>44372</v>
      </c>
      <c r="D347" s="8">
        <v>500</v>
      </c>
    </row>
    <row r="348" spans="2:4" x14ac:dyDescent="0.35">
      <c r="B348">
        <v>236</v>
      </c>
      <c r="C348" s="7">
        <v>44372</v>
      </c>
      <c r="D348" s="8">
        <v>1000</v>
      </c>
    </row>
    <row r="349" spans="2:4" x14ac:dyDescent="0.35">
      <c r="B349">
        <v>237</v>
      </c>
      <c r="C349" s="7">
        <v>44372</v>
      </c>
      <c r="D349" s="8">
        <v>250</v>
      </c>
    </row>
    <row r="350" spans="2:4" x14ac:dyDescent="0.35">
      <c r="B350">
        <v>56</v>
      </c>
      <c r="C350" s="7">
        <v>44371</v>
      </c>
      <c r="D350" s="8">
        <v>175</v>
      </c>
    </row>
    <row r="351" spans="2:4" x14ac:dyDescent="0.35">
      <c r="B351">
        <v>75</v>
      </c>
      <c r="C351" s="7">
        <v>44371</v>
      </c>
      <c r="D351" s="8">
        <v>100</v>
      </c>
    </row>
    <row r="352" spans="2:4" x14ac:dyDescent="0.35">
      <c r="B352">
        <v>128</v>
      </c>
      <c r="C352" s="7">
        <v>44371</v>
      </c>
      <c r="D352" s="8">
        <v>400</v>
      </c>
    </row>
    <row r="353" spans="2:4" x14ac:dyDescent="0.35">
      <c r="B353">
        <v>232</v>
      </c>
      <c r="C353" s="7">
        <v>44371</v>
      </c>
      <c r="D353" s="8">
        <v>2500</v>
      </c>
    </row>
    <row r="354" spans="2:4" x14ac:dyDescent="0.35">
      <c r="B354">
        <v>233</v>
      </c>
      <c r="C354" s="7">
        <v>44371</v>
      </c>
      <c r="D354" s="8">
        <v>1000</v>
      </c>
    </row>
    <row r="355" spans="2:4" x14ac:dyDescent="0.35">
      <c r="B355">
        <v>234</v>
      </c>
      <c r="C355" s="7">
        <v>44371</v>
      </c>
      <c r="D355" s="8">
        <v>250</v>
      </c>
    </row>
    <row r="356" spans="2:4" x14ac:dyDescent="0.35">
      <c r="B356">
        <v>69</v>
      </c>
      <c r="C356" s="7">
        <v>44370</v>
      </c>
      <c r="D356" s="8">
        <v>50</v>
      </c>
    </row>
    <row r="357" spans="2:4" x14ac:dyDescent="0.35">
      <c r="B357">
        <v>137</v>
      </c>
      <c r="C357" s="7">
        <v>44370</v>
      </c>
      <c r="D357" s="8">
        <v>100</v>
      </c>
    </row>
    <row r="358" spans="2:4" x14ac:dyDescent="0.35">
      <c r="B358">
        <v>228</v>
      </c>
      <c r="C358" s="7">
        <v>44370</v>
      </c>
      <c r="D358" s="8">
        <v>630</v>
      </c>
    </row>
    <row r="359" spans="2:4" x14ac:dyDescent="0.35">
      <c r="B359">
        <v>229</v>
      </c>
      <c r="C359" s="7">
        <v>44370</v>
      </c>
      <c r="D359" s="8">
        <v>1000</v>
      </c>
    </row>
    <row r="360" spans="2:4" x14ac:dyDescent="0.35">
      <c r="B360">
        <v>230</v>
      </c>
      <c r="C360" s="7">
        <v>44370</v>
      </c>
      <c r="D360" s="8">
        <v>500</v>
      </c>
    </row>
    <row r="361" spans="2:4" x14ac:dyDescent="0.35">
      <c r="B361">
        <v>231</v>
      </c>
      <c r="C361" s="7">
        <v>44370</v>
      </c>
      <c r="D361" s="8">
        <v>250</v>
      </c>
    </row>
    <row r="362" spans="2:4" x14ac:dyDescent="0.35">
      <c r="B362">
        <v>226</v>
      </c>
      <c r="C362" s="7">
        <v>44369</v>
      </c>
      <c r="D362" s="8">
        <v>500</v>
      </c>
    </row>
    <row r="363" spans="2:4" x14ac:dyDescent="0.35">
      <c r="B363">
        <v>227</v>
      </c>
      <c r="C363" s="7">
        <v>44369</v>
      </c>
      <c r="D363" s="8">
        <v>500</v>
      </c>
    </row>
    <row r="364" spans="2:4" x14ac:dyDescent="0.35">
      <c r="B364">
        <v>221</v>
      </c>
      <c r="C364" s="7">
        <v>44368</v>
      </c>
      <c r="D364" s="8">
        <v>5000</v>
      </c>
    </row>
    <row r="365" spans="2:4" x14ac:dyDescent="0.35">
      <c r="B365">
        <v>222</v>
      </c>
      <c r="C365" s="7">
        <v>44368</v>
      </c>
      <c r="D365" s="8">
        <v>2500</v>
      </c>
    </row>
    <row r="366" spans="2:4" x14ac:dyDescent="0.35">
      <c r="B366">
        <v>223</v>
      </c>
      <c r="C366" s="7">
        <v>44368</v>
      </c>
      <c r="D366" s="8">
        <v>630</v>
      </c>
    </row>
    <row r="367" spans="2:4" x14ac:dyDescent="0.35">
      <c r="B367">
        <v>224</v>
      </c>
      <c r="C367" s="7">
        <v>44368</v>
      </c>
      <c r="D367" s="8">
        <v>250</v>
      </c>
    </row>
    <row r="368" spans="2:4" x14ac:dyDescent="0.35">
      <c r="B368">
        <v>225</v>
      </c>
      <c r="C368" s="7">
        <v>44368</v>
      </c>
      <c r="D368" s="8">
        <v>130</v>
      </c>
    </row>
    <row r="369" spans="2:4" x14ac:dyDescent="0.35">
      <c r="B369">
        <v>217</v>
      </c>
      <c r="C369" s="7">
        <v>44367</v>
      </c>
      <c r="D369" s="8">
        <v>500</v>
      </c>
    </row>
    <row r="370" spans="2:4" x14ac:dyDescent="0.35">
      <c r="B370">
        <v>218</v>
      </c>
      <c r="C370" s="7">
        <v>44367</v>
      </c>
      <c r="D370" s="8">
        <v>250</v>
      </c>
    </row>
    <row r="371" spans="2:4" x14ac:dyDescent="0.35">
      <c r="B371">
        <v>219</v>
      </c>
      <c r="C371" s="7">
        <v>44367</v>
      </c>
      <c r="D371" s="8">
        <v>250</v>
      </c>
    </row>
    <row r="372" spans="2:4" x14ac:dyDescent="0.35">
      <c r="B372">
        <v>220</v>
      </c>
      <c r="C372" s="7">
        <v>44367</v>
      </c>
      <c r="D372" s="8">
        <v>130</v>
      </c>
    </row>
    <row r="373" spans="2:4" x14ac:dyDescent="0.35">
      <c r="B373">
        <v>215</v>
      </c>
      <c r="C373" s="7">
        <v>44366</v>
      </c>
      <c r="D373" s="8">
        <v>250</v>
      </c>
    </row>
    <row r="374" spans="2:4" x14ac:dyDescent="0.35">
      <c r="B374">
        <v>216</v>
      </c>
      <c r="C374" s="7">
        <v>44366</v>
      </c>
      <c r="D374" s="8">
        <v>250</v>
      </c>
    </row>
    <row r="375" spans="2:4" x14ac:dyDescent="0.35">
      <c r="B375">
        <v>76</v>
      </c>
      <c r="C375" s="7">
        <v>44365</v>
      </c>
      <c r="D375" s="8">
        <v>25</v>
      </c>
    </row>
    <row r="376" spans="2:4" x14ac:dyDescent="0.35">
      <c r="B376">
        <v>214</v>
      </c>
      <c r="C376" s="7">
        <v>44365</v>
      </c>
      <c r="D376" s="8">
        <v>250</v>
      </c>
    </row>
    <row r="377" spans="2:4" x14ac:dyDescent="0.35">
      <c r="B377">
        <v>77</v>
      </c>
      <c r="C377" s="7">
        <v>44364</v>
      </c>
      <c r="D377" s="8">
        <v>200</v>
      </c>
    </row>
    <row r="378" spans="2:4" x14ac:dyDescent="0.35">
      <c r="B378">
        <v>207</v>
      </c>
      <c r="C378" s="7">
        <v>44364</v>
      </c>
      <c r="D378" s="8">
        <v>250</v>
      </c>
    </row>
    <row r="379" spans="2:4" x14ac:dyDescent="0.35">
      <c r="B379">
        <v>208</v>
      </c>
      <c r="C379" s="7">
        <v>44364</v>
      </c>
      <c r="D379" s="8">
        <v>500</v>
      </c>
    </row>
    <row r="380" spans="2:4" x14ac:dyDescent="0.35">
      <c r="B380">
        <v>209</v>
      </c>
      <c r="C380" s="7">
        <v>44364</v>
      </c>
      <c r="D380" s="8">
        <v>500</v>
      </c>
    </row>
    <row r="381" spans="2:4" x14ac:dyDescent="0.35">
      <c r="B381">
        <v>210</v>
      </c>
      <c r="C381" s="7">
        <v>44364</v>
      </c>
      <c r="D381" s="8">
        <v>250</v>
      </c>
    </row>
    <row r="382" spans="2:4" x14ac:dyDescent="0.35">
      <c r="B382">
        <v>211</v>
      </c>
      <c r="C382" s="7">
        <v>44364</v>
      </c>
      <c r="D382" s="8">
        <v>250</v>
      </c>
    </row>
    <row r="383" spans="2:4" x14ac:dyDescent="0.35">
      <c r="B383">
        <v>212</v>
      </c>
      <c r="C383" s="7">
        <v>44364</v>
      </c>
      <c r="D383" s="8">
        <v>250</v>
      </c>
    </row>
    <row r="384" spans="2:4" x14ac:dyDescent="0.35">
      <c r="B384">
        <v>213</v>
      </c>
      <c r="C384" s="7">
        <v>44364</v>
      </c>
      <c r="D384" s="8">
        <v>250</v>
      </c>
    </row>
    <row r="385" spans="2:4" x14ac:dyDescent="0.35">
      <c r="B385">
        <v>203</v>
      </c>
      <c r="C385" s="7">
        <v>44363</v>
      </c>
      <c r="D385" s="8">
        <v>1000</v>
      </c>
    </row>
    <row r="386" spans="2:4" x14ac:dyDescent="0.35">
      <c r="B386">
        <v>204</v>
      </c>
      <c r="C386" s="7">
        <v>44363</v>
      </c>
      <c r="D386" s="8">
        <v>500</v>
      </c>
    </row>
    <row r="387" spans="2:4" x14ac:dyDescent="0.35">
      <c r="B387">
        <v>205</v>
      </c>
      <c r="C387" s="7">
        <v>44363</v>
      </c>
      <c r="D387" s="8">
        <v>130</v>
      </c>
    </row>
    <row r="388" spans="2:4" x14ac:dyDescent="0.35">
      <c r="B388">
        <v>206</v>
      </c>
      <c r="C388" s="7">
        <v>44363</v>
      </c>
      <c r="D388" s="8">
        <v>250</v>
      </c>
    </row>
    <row r="389" spans="2:4" x14ac:dyDescent="0.35">
      <c r="B389">
        <v>16</v>
      </c>
      <c r="C389" s="7">
        <v>44362</v>
      </c>
      <c r="D389" s="8">
        <v>100</v>
      </c>
    </row>
    <row r="390" spans="2:4" x14ac:dyDescent="0.35">
      <c r="B390">
        <v>101</v>
      </c>
      <c r="C390" s="7">
        <v>44362</v>
      </c>
      <c r="D390" s="8">
        <v>200</v>
      </c>
    </row>
    <row r="391" spans="2:4" x14ac:dyDescent="0.35">
      <c r="B391">
        <v>201</v>
      </c>
      <c r="C391" s="7">
        <v>44362</v>
      </c>
      <c r="D391" s="8">
        <v>1000</v>
      </c>
    </row>
    <row r="392" spans="2:4" x14ac:dyDescent="0.35">
      <c r="B392">
        <v>202</v>
      </c>
      <c r="C392" s="7">
        <v>44362</v>
      </c>
      <c r="D392" s="8">
        <v>1000</v>
      </c>
    </row>
    <row r="393" spans="2:4" x14ac:dyDescent="0.35">
      <c r="B393">
        <v>46</v>
      </c>
      <c r="C393" s="7">
        <v>44361</v>
      </c>
      <c r="D393" s="8">
        <v>75</v>
      </c>
    </row>
    <row r="394" spans="2:4" x14ac:dyDescent="0.35">
      <c r="B394">
        <v>23</v>
      </c>
      <c r="C394" s="7">
        <v>44360</v>
      </c>
      <c r="D394" s="8">
        <v>50</v>
      </c>
    </row>
    <row r="395" spans="2:4" x14ac:dyDescent="0.35">
      <c r="B395">
        <v>37</v>
      </c>
      <c r="C395" s="7">
        <v>44360</v>
      </c>
      <c r="D395" s="8">
        <v>100</v>
      </c>
    </row>
    <row r="396" spans="2:4" x14ac:dyDescent="0.35">
      <c r="B396">
        <v>200</v>
      </c>
      <c r="C396" s="7">
        <v>44360</v>
      </c>
      <c r="D396" s="8">
        <v>500</v>
      </c>
    </row>
    <row r="397" spans="2:4" x14ac:dyDescent="0.35">
      <c r="B397">
        <v>196</v>
      </c>
      <c r="C397" s="7">
        <v>44359</v>
      </c>
      <c r="D397" s="8">
        <v>500</v>
      </c>
    </row>
    <row r="398" spans="2:4" x14ac:dyDescent="0.35">
      <c r="B398">
        <v>197</v>
      </c>
      <c r="C398" s="7">
        <v>44359</v>
      </c>
      <c r="D398" s="8">
        <v>500</v>
      </c>
    </row>
    <row r="399" spans="2:4" x14ac:dyDescent="0.35">
      <c r="B399">
        <v>198</v>
      </c>
      <c r="C399" s="7">
        <v>44359</v>
      </c>
      <c r="D399" s="8">
        <v>250</v>
      </c>
    </row>
    <row r="400" spans="2:4" x14ac:dyDescent="0.35">
      <c r="B400">
        <v>199</v>
      </c>
      <c r="C400" s="7">
        <v>44359</v>
      </c>
      <c r="D400" s="8">
        <v>250</v>
      </c>
    </row>
    <row r="401" spans="2:4" x14ac:dyDescent="0.35">
      <c r="B401">
        <v>67</v>
      </c>
      <c r="C401" s="7">
        <v>44358</v>
      </c>
      <c r="D401" s="8">
        <v>150</v>
      </c>
    </row>
    <row r="402" spans="2:4" x14ac:dyDescent="0.35">
      <c r="B402">
        <v>194</v>
      </c>
      <c r="C402" s="7">
        <v>44358</v>
      </c>
      <c r="D402" s="8">
        <v>500</v>
      </c>
    </row>
    <row r="403" spans="2:4" x14ac:dyDescent="0.35">
      <c r="B403">
        <v>195</v>
      </c>
      <c r="C403" s="7">
        <v>44358</v>
      </c>
      <c r="D403" s="8">
        <v>250</v>
      </c>
    </row>
    <row r="404" spans="2:4" x14ac:dyDescent="0.35">
      <c r="B404">
        <v>51</v>
      </c>
      <c r="C404" s="7">
        <v>44357</v>
      </c>
      <c r="D404" s="8">
        <v>400</v>
      </c>
    </row>
    <row r="405" spans="2:4" x14ac:dyDescent="0.35">
      <c r="B405">
        <v>192</v>
      </c>
      <c r="C405" s="7">
        <v>44357</v>
      </c>
      <c r="D405" s="8">
        <v>250</v>
      </c>
    </row>
    <row r="406" spans="2:4" x14ac:dyDescent="0.35">
      <c r="B406">
        <v>193</v>
      </c>
      <c r="C406" s="7">
        <v>44357</v>
      </c>
      <c r="D406" s="8">
        <v>130</v>
      </c>
    </row>
    <row r="407" spans="2:4" x14ac:dyDescent="0.35">
      <c r="B407">
        <v>13</v>
      </c>
      <c r="C407" s="7">
        <v>44356</v>
      </c>
      <c r="D407" s="8">
        <v>25</v>
      </c>
    </row>
    <row r="408" spans="2:4" x14ac:dyDescent="0.35">
      <c r="B408">
        <v>186</v>
      </c>
      <c r="C408" s="7">
        <v>44356</v>
      </c>
      <c r="D408" s="8">
        <v>2500</v>
      </c>
    </row>
    <row r="409" spans="2:4" x14ac:dyDescent="0.35">
      <c r="B409">
        <v>187</v>
      </c>
      <c r="C409" s="7">
        <v>44356</v>
      </c>
      <c r="D409" s="8">
        <v>1250</v>
      </c>
    </row>
    <row r="410" spans="2:4" x14ac:dyDescent="0.35">
      <c r="B410">
        <v>188</v>
      </c>
      <c r="C410" s="7">
        <v>44356</v>
      </c>
      <c r="D410" s="8">
        <v>250</v>
      </c>
    </row>
    <row r="411" spans="2:4" x14ac:dyDescent="0.35">
      <c r="B411">
        <v>189</v>
      </c>
      <c r="C411" s="7">
        <v>44356</v>
      </c>
      <c r="D411" s="8">
        <v>130</v>
      </c>
    </row>
    <row r="412" spans="2:4" x14ac:dyDescent="0.35">
      <c r="B412">
        <v>190</v>
      </c>
      <c r="C412" s="7">
        <v>44356</v>
      </c>
      <c r="D412" s="8">
        <v>250</v>
      </c>
    </row>
    <row r="413" spans="2:4" x14ac:dyDescent="0.35">
      <c r="B413">
        <v>191</v>
      </c>
      <c r="C413" s="7">
        <v>44356</v>
      </c>
      <c r="D413" s="8">
        <v>250</v>
      </c>
    </row>
    <row r="414" spans="2:4" x14ac:dyDescent="0.35">
      <c r="B414">
        <v>183</v>
      </c>
      <c r="C414" s="7">
        <v>44355</v>
      </c>
      <c r="D414" s="8">
        <v>500</v>
      </c>
    </row>
    <row r="415" spans="2:4" x14ac:dyDescent="0.35">
      <c r="B415">
        <v>184</v>
      </c>
      <c r="C415" s="7">
        <v>44355</v>
      </c>
      <c r="D415" s="8">
        <v>500</v>
      </c>
    </row>
    <row r="416" spans="2:4" x14ac:dyDescent="0.35">
      <c r="B416">
        <v>185</v>
      </c>
      <c r="C416" s="7">
        <v>44355</v>
      </c>
      <c r="D416" s="8">
        <v>250</v>
      </c>
    </row>
    <row r="417" spans="2:4" x14ac:dyDescent="0.35">
      <c r="B417">
        <v>180</v>
      </c>
      <c r="C417" s="7">
        <v>44354</v>
      </c>
      <c r="D417" s="8">
        <v>5000</v>
      </c>
    </row>
    <row r="418" spans="2:4" x14ac:dyDescent="0.35">
      <c r="B418">
        <v>181</v>
      </c>
      <c r="C418" s="7">
        <v>44354</v>
      </c>
      <c r="D418" s="8">
        <v>250</v>
      </c>
    </row>
    <row r="419" spans="2:4" x14ac:dyDescent="0.35">
      <c r="B419">
        <v>182</v>
      </c>
      <c r="C419" s="7">
        <v>44354</v>
      </c>
      <c r="D419" s="8">
        <v>250</v>
      </c>
    </row>
    <row r="420" spans="2:4" x14ac:dyDescent="0.35">
      <c r="B420">
        <v>10</v>
      </c>
      <c r="C420" s="7">
        <v>44353</v>
      </c>
      <c r="D420" s="8">
        <v>575</v>
      </c>
    </row>
    <row r="421" spans="2:4" x14ac:dyDescent="0.35">
      <c r="B421">
        <v>178</v>
      </c>
      <c r="C421" s="7">
        <v>44353</v>
      </c>
      <c r="D421" s="8">
        <v>250</v>
      </c>
    </row>
    <row r="422" spans="2:4" x14ac:dyDescent="0.35">
      <c r="B422">
        <v>179</v>
      </c>
      <c r="C422" s="7">
        <v>44353</v>
      </c>
      <c r="D422" s="8">
        <v>60</v>
      </c>
    </row>
    <row r="423" spans="2:4" x14ac:dyDescent="0.35">
      <c r="B423">
        <v>11</v>
      </c>
      <c r="C423" s="7">
        <v>44352</v>
      </c>
      <c r="D423" s="8">
        <v>50</v>
      </c>
    </row>
    <row r="424" spans="2:4" x14ac:dyDescent="0.35">
      <c r="B424">
        <v>73</v>
      </c>
      <c r="C424" s="7">
        <v>44352</v>
      </c>
      <c r="D424" s="8">
        <v>50</v>
      </c>
    </row>
    <row r="425" spans="2:4" x14ac:dyDescent="0.35">
      <c r="B425">
        <v>177</v>
      </c>
      <c r="C425" s="7">
        <v>44352</v>
      </c>
      <c r="D425" s="8">
        <v>1000</v>
      </c>
    </row>
    <row r="426" spans="2:4" x14ac:dyDescent="0.35">
      <c r="B426">
        <v>32</v>
      </c>
      <c r="C426" s="7">
        <v>44351</v>
      </c>
      <c r="D426" s="8">
        <v>400</v>
      </c>
    </row>
    <row r="427" spans="2:4" x14ac:dyDescent="0.35">
      <c r="B427">
        <v>86</v>
      </c>
      <c r="C427" s="7">
        <v>44351</v>
      </c>
      <c r="D427" s="8">
        <v>150000</v>
      </c>
    </row>
    <row r="428" spans="2:4" x14ac:dyDescent="0.35">
      <c r="B428">
        <v>170</v>
      </c>
      <c r="C428" s="7">
        <v>44351</v>
      </c>
      <c r="D428" s="8">
        <v>500</v>
      </c>
    </row>
    <row r="429" spans="2:4" x14ac:dyDescent="0.35">
      <c r="B429">
        <v>171</v>
      </c>
      <c r="C429" s="7">
        <v>44351</v>
      </c>
      <c r="D429" s="8">
        <v>500</v>
      </c>
    </row>
    <row r="430" spans="2:4" x14ac:dyDescent="0.35">
      <c r="B430">
        <v>172</v>
      </c>
      <c r="C430" s="7">
        <v>44351</v>
      </c>
      <c r="D430" s="8">
        <v>500</v>
      </c>
    </row>
    <row r="431" spans="2:4" x14ac:dyDescent="0.35">
      <c r="B431">
        <v>173</v>
      </c>
      <c r="C431" s="7">
        <v>44351</v>
      </c>
      <c r="D431" s="8">
        <v>250</v>
      </c>
    </row>
    <row r="432" spans="2:4" x14ac:dyDescent="0.35">
      <c r="B432">
        <v>174</v>
      </c>
      <c r="C432" s="7">
        <v>44351</v>
      </c>
      <c r="D432" s="8">
        <v>250</v>
      </c>
    </row>
    <row r="433" spans="2:4" x14ac:dyDescent="0.35">
      <c r="B433">
        <v>175</v>
      </c>
      <c r="C433" s="7">
        <v>44351</v>
      </c>
      <c r="D433" s="8">
        <v>250</v>
      </c>
    </row>
    <row r="434" spans="2:4" x14ac:dyDescent="0.35">
      <c r="B434">
        <v>176</v>
      </c>
      <c r="C434" s="7">
        <v>44351</v>
      </c>
      <c r="D434" s="8">
        <v>130</v>
      </c>
    </row>
    <row r="435" spans="2:4" x14ac:dyDescent="0.35">
      <c r="B435">
        <v>164</v>
      </c>
      <c r="C435" s="7">
        <v>44350</v>
      </c>
      <c r="D435" s="8">
        <v>500</v>
      </c>
    </row>
    <row r="436" spans="2:4" x14ac:dyDescent="0.35">
      <c r="B436">
        <v>165</v>
      </c>
      <c r="C436" s="7">
        <v>44350</v>
      </c>
      <c r="D436" s="8">
        <v>250</v>
      </c>
    </row>
    <row r="437" spans="2:4" x14ac:dyDescent="0.35">
      <c r="B437">
        <v>166</v>
      </c>
      <c r="C437" s="7">
        <v>44350</v>
      </c>
      <c r="D437" s="8">
        <v>500</v>
      </c>
    </row>
    <row r="438" spans="2:4" x14ac:dyDescent="0.35">
      <c r="B438">
        <v>167</v>
      </c>
      <c r="C438" s="7">
        <v>44350</v>
      </c>
      <c r="D438" s="8">
        <v>250</v>
      </c>
    </row>
    <row r="439" spans="2:4" x14ac:dyDescent="0.35">
      <c r="B439">
        <v>168</v>
      </c>
      <c r="C439" s="7">
        <v>44350</v>
      </c>
      <c r="D439" s="8">
        <v>250</v>
      </c>
    </row>
    <row r="440" spans="2:4" x14ac:dyDescent="0.35">
      <c r="B440">
        <v>169</v>
      </c>
      <c r="C440" s="7">
        <v>44350</v>
      </c>
      <c r="D440" s="8">
        <v>250</v>
      </c>
    </row>
    <row r="441" spans="2:4" x14ac:dyDescent="0.35">
      <c r="B441">
        <v>7</v>
      </c>
      <c r="C441" s="7">
        <v>44349</v>
      </c>
      <c r="D441" s="8">
        <v>75</v>
      </c>
    </row>
    <row r="442" spans="2:4" x14ac:dyDescent="0.35">
      <c r="B442">
        <v>161</v>
      </c>
      <c r="C442" s="7">
        <v>44349</v>
      </c>
      <c r="D442" s="8">
        <v>2500</v>
      </c>
    </row>
    <row r="443" spans="2:4" x14ac:dyDescent="0.35">
      <c r="B443">
        <v>162</v>
      </c>
      <c r="C443" s="7">
        <v>44349</v>
      </c>
      <c r="D443" s="8">
        <v>2500</v>
      </c>
    </row>
    <row r="444" spans="2:4" x14ac:dyDescent="0.35">
      <c r="B444">
        <v>163</v>
      </c>
      <c r="C444" s="7">
        <v>44349</v>
      </c>
      <c r="D444" s="8">
        <v>500</v>
      </c>
    </row>
    <row r="445" spans="2:4" x14ac:dyDescent="0.35">
      <c r="B445">
        <v>26</v>
      </c>
      <c r="C445" s="7">
        <v>44348</v>
      </c>
      <c r="D445" s="8">
        <v>25</v>
      </c>
    </row>
    <row r="446" spans="2:4" x14ac:dyDescent="0.35">
      <c r="B446">
        <v>158</v>
      </c>
      <c r="C446" s="7">
        <v>44348</v>
      </c>
      <c r="D446" s="8">
        <v>250</v>
      </c>
    </row>
    <row r="447" spans="2:4" x14ac:dyDescent="0.35">
      <c r="B447">
        <v>159</v>
      </c>
      <c r="C447" s="7">
        <v>44348</v>
      </c>
      <c r="D447" s="8">
        <v>250</v>
      </c>
    </row>
    <row r="448" spans="2:4" x14ac:dyDescent="0.35">
      <c r="B448">
        <v>160</v>
      </c>
      <c r="C448" s="7">
        <v>44348</v>
      </c>
      <c r="D448" s="8">
        <v>250</v>
      </c>
    </row>
    <row r="449" spans="2:4" x14ac:dyDescent="0.35">
      <c r="B449">
        <v>156</v>
      </c>
      <c r="C449" s="7">
        <v>44347</v>
      </c>
      <c r="D449" s="8">
        <v>250</v>
      </c>
    </row>
    <row r="450" spans="2:4" x14ac:dyDescent="0.35">
      <c r="B450">
        <v>157</v>
      </c>
      <c r="C450" s="7">
        <v>44347</v>
      </c>
      <c r="D450" s="8">
        <v>250</v>
      </c>
    </row>
    <row r="451" spans="2:4" x14ac:dyDescent="0.35">
      <c r="B451">
        <v>18</v>
      </c>
      <c r="C451" s="7">
        <v>44346</v>
      </c>
      <c r="D451" s="8">
        <v>750</v>
      </c>
    </row>
    <row r="452" spans="2:4" x14ac:dyDescent="0.35">
      <c r="B452">
        <v>60</v>
      </c>
      <c r="C452" s="7">
        <v>44346</v>
      </c>
      <c r="D452" s="8">
        <v>150</v>
      </c>
    </row>
    <row r="453" spans="2:4" x14ac:dyDescent="0.35">
      <c r="B453">
        <v>155</v>
      </c>
      <c r="C453" s="7">
        <v>44346</v>
      </c>
      <c r="D453" s="8">
        <v>250</v>
      </c>
    </row>
    <row r="454" spans="2:4" x14ac:dyDescent="0.35">
      <c r="B454">
        <v>151</v>
      </c>
      <c r="C454" s="7">
        <v>44345</v>
      </c>
      <c r="D454" s="8">
        <v>1250</v>
      </c>
    </row>
    <row r="455" spans="2:4" x14ac:dyDescent="0.35">
      <c r="B455">
        <v>152</v>
      </c>
      <c r="C455" s="7">
        <v>44345</v>
      </c>
      <c r="D455" s="8">
        <v>500</v>
      </c>
    </row>
    <row r="456" spans="2:4" x14ac:dyDescent="0.35">
      <c r="B456">
        <v>153</v>
      </c>
      <c r="C456" s="7">
        <v>44345</v>
      </c>
      <c r="D456" s="8">
        <v>250</v>
      </c>
    </row>
    <row r="457" spans="2:4" x14ac:dyDescent="0.35">
      <c r="B457">
        <v>154</v>
      </c>
      <c r="C457" s="7">
        <v>44345</v>
      </c>
      <c r="D457" s="8">
        <v>250</v>
      </c>
    </row>
    <row r="458" spans="2:4" x14ac:dyDescent="0.35">
      <c r="B458">
        <v>149</v>
      </c>
      <c r="C458" s="7">
        <v>44344</v>
      </c>
      <c r="D458" s="8">
        <v>250</v>
      </c>
    </row>
    <row r="459" spans="2:4" x14ac:dyDescent="0.35">
      <c r="B459">
        <v>150</v>
      </c>
      <c r="C459" s="7">
        <v>44344</v>
      </c>
      <c r="D459" s="8">
        <v>250</v>
      </c>
    </row>
    <row r="460" spans="2:4" x14ac:dyDescent="0.35">
      <c r="B460">
        <v>143</v>
      </c>
      <c r="C460" s="7">
        <v>44343</v>
      </c>
      <c r="D460" s="8">
        <v>2500</v>
      </c>
    </row>
    <row r="461" spans="2:4" x14ac:dyDescent="0.35">
      <c r="B461">
        <v>144</v>
      </c>
      <c r="C461" s="7">
        <v>44343</v>
      </c>
      <c r="D461" s="8">
        <v>250</v>
      </c>
    </row>
    <row r="462" spans="2:4" x14ac:dyDescent="0.35">
      <c r="B462">
        <v>145</v>
      </c>
      <c r="C462" s="7">
        <v>44343</v>
      </c>
      <c r="D462" s="8">
        <v>500</v>
      </c>
    </row>
    <row r="463" spans="2:4" x14ac:dyDescent="0.35">
      <c r="B463">
        <v>146</v>
      </c>
      <c r="C463" s="7">
        <v>44343</v>
      </c>
      <c r="D463" s="8">
        <v>130</v>
      </c>
    </row>
    <row r="464" spans="2:4" x14ac:dyDescent="0.35">
      <c r="B464">
        <v>147</v>
      </c>
      <c r="C464" s="7">
        <v>44343</v>
      </c>
      <c r="D464" s="8">
        <v>60</v>
      </c>
    </row>
    <row r="465" spans="2:4" x14ac:dyDescent="0.35">
      <c r="B465">
        <v>148</v>
      </c>
      <c r="C465" s="7">
        <v>44343</v>
      </c>
      <c r="D465" s="8">
        <v>130</v>
      </c>
    </row>
    <row r="466" spans="2:4" x14ac:dyDescent="0.35">
      <c r="B466">
        <v>21</v>
      </c>
      <c r="C466" s="7">
        <v>44342</v>
      </c>
      <c r="D466" s="8">
        <v>125</v>
      </c>
    </row>
    <row r="467" spans="2:4" x14ac:dyDescent="0.35">
      <c r="B467">
        <v>41</v>
      </c>
      <c r="C467" s="7">
        <v>44342</v>
      </c>
      <c r="D467" s="8">
        <v>675</v>
      </c>
    </row>
    <row r="468" spans="2:4" x14ac:dyDescent="0.35">
      <c r="B468">
        <v>47</v>
      </c>
      <c r="C468" s="7">
        <v>44342</v>
      </c>
      <c r="D468" s="8">
        <v>50</v>
      </c>
    </row>
    <row r="469" spans="2:4" x14ac:dyDescent="0.35">
      <c r="B469">
        <v>141</v>
      </c>
      <c r="C469" s="7">
        <v>44342</v>
      </c>
      <c r="D469" s="8">
        <v>250</v>
      </c>
    </row>
    <row r="470" spans="2:4" x14ac:dyDescent="0.35">
      <c r="B470">
        <v>142</v>
      </c>
      <c r="C470" s="7">
        <v>44342</v>
      </c>
      <c r="D470" s="8">
        <v>250</v>
      </c>
    </row>
    <row r="471" spans="2:4" x14ac:dyDescent="0.35">
      <c r="B471">
        <v>30</v>
      </c>
      <c r="C471" s="7">
        <v>44341</v>
      </c>
      <c r="D471" s="8">
        <v>150000</v>
      </c>
    </row>
    <row r="472" spans="2:4" x14ac:dyDescent="0.35">
      <c r="B472">
        <v>49</v>
      </c>
      <c r="C472" s="7">
        <v>44341</v>
      </c>
      <c r="D472" s="8">
        <v>250</v>
      </c>
    </row>
    <row r="473" spans="2:4" x14ac:dyDescent="0.35">
      <c r="B473">
        <v>138</v>
      </c>
      <c r="C473" s="7">
        <v>44341</v>
      </c>
      <c r="D473" s="8">
        <v>500</v>
      </c>
    </row>
    <row r="474" spans="2:4" x14ac:dyDescent="0.35">
      <c r="B474">
        <v>139</v>
      </c>
      <c r="C474" s="7">
        <v>44341</v>
      </c>
      <c r="D474" s="8">
        <v>60</v>
      </c>
    </row>
    <row r="475" spans="2:4" x14ac:dyDescent="0.35">
      <c r="B475">
        <v>140</v>
      </c>
      <c r="C475" s="7">
        <v>44341</v>
      </c>
      <c r="D475" s="8">
        <v>130</v>
      </c>
    </row>
    <row r="476" spans="2:4" x14ac:dyDescent="0.35">
      <c r="B476">
        <v>8</v>
      </c>
      <c r="C476" s="7">
        <v>44340</v>
      </c>
      <c r="D476" s="8">
        <v>50</v>
      </c>
    </row>
    <row r="477" spans="2:4" x14ac:dyDescent="0.35">
      <c r="B477">
        <v>19</v>
      </c>
      <c r="C477" s="7">
        <v>44340</v>
      </c>
      <c r="D477" s="8">
        <v>100</v>
      </c>
    </row>
    <row r="478" spans="2:4" x14ac:dyDescent="0.35">
      <c r="B478">
        <v>137</v>
      </c>
      <c r="C478" s="7">
        <v>44340</v>
      </c>
      <c r="D478" s="8">
        <v>250</v>
      </c>
    </row>
    <row r="479" spans="2:4" x14ac:dyDescent="0.35">
      <c r="B479">
        <v>131</v>
      </c>
      <c r="C479" s="7">
        <v>44339</v>
      </c>
      <c r="D479" s="8">
        <v>250</v>
      </c>
    </row>
    <row r="480" spans="2:4" x14ac:dyDescent="0.35">
      <c r="B480">
        <v>132</v>
      </c>
      <c r="C480" s="7">
        <v>44339</v>
      </c>
      <c r="D480" s="8">
        <v>1000</v>
      </c>
    </row>
    <row r="481" spans="2:4" x14ac:dyDescent="0.35">
      <c r="B481">
        <v>133</v>
      </c>
      <c r="C481" s="7">
        <v>44339</v>
      </c>
      <c r="D481" s="8">
        <v>1000</v>
      </c>
    </row>
    <row r="482" spans="2:4" x14ac:dyDescent="0.35">
      <c r="B482">
        <v>134</v>
      </c>
      <c r="C482" s="7">
        <v>44339</v>
      </c>
      <c r="D482" s="8">
        <v>250</v>
      </c>
    </row>
    <row r="483" spans="2:4" x14ac:dyDescent="0.35">
      <c r="B483">
        <v>135</v>
      </c>
      <c r="C483" s="7">
        <v>44339</v>
      </c>
      <c r="D483" s="8">
        <v>500</v>
      </c>
    </row>
    <row r="484" spans="2:4" x14ac:dyDescent="0.35">
      <c r="B484">
        <v>136</v>
      </c>
      <c r="C484" s="7">
        <v>44339</v>
      </c>
      <c r="D484" s="8">
        <v>250</v>
      </c>
    </row>
    <row r="485" spans="2:4" x14ac:dyDescent="0.35">
      <c r="B485">
        <v>128</v>
      </c>
      <c r="C485" s="7">
        <v>44338</v>
      </c>
      <c r="D485" s="8">
        <v>500</v>
      </c>
    </row>
    <row r="486" spans="2:4" x14ac:dyDescent="0.35">
      <c r="B486">
        <v>129</v>
      </c>
      <c r="C486" s="7">
        <v>44338</v>
      </c>
      <c r="D486" s="8">
        <v>500</v>
      </c>
    </row>
    <row r="487" spans="2:4" x14ac:dyDescent="0.35">
      <c r="B487">
        <v>130</v>
      </c>
      <c r="C487" s="7">
        <v>44338</v>
      </c>
      <c r="D487" s="8">
        <v>250</v>
      </c>
    </row>
    <row r="488" spans="2:4" x14ac:dyDescent="0.35">
      <c r="B488">
        <v>33</v>
      </c>
      <c r="C488" s="7">
        <v>44337</v>
      </c>
      <c r="D488" s="8">
        <v>750</v>
      </c>
    </row>
    <row r="489" spans="2:4" x14ac:dyDescent="0.35">
      <c r="B489">
        <v>123</v>
      </c>
      <c r="C489" s="7">
        <v>44337</v>
      </c>
      <c r="D489" s="8">
        <v>50000</v>
      </c>
    </row>
    <row r="490" spans="2:4" x14ac:dyDescent="0.35">
      <c r="B490">
        <v>124</v>
      </c>
      <c r="C490" s="7">
        <v>44337</v>
      </c>
      <c r="D490" s="8">
        <v>500</v>
      </c>
    </row>
    <row r="491" spans="2:4" x14ac:dyDescent="0.35">
      <c r="B491">
        <v>125</v>
      </c>
      <c r="C491" s="7">
        <v>44337</v>
      </c>
      <c r="D491" s="8">
        <v>500</v>
      </c>
    </row>
    <row r="492" spans="2:4" x14ac:dyDescent="0.35">
      <c r="B492">
        <v>126</v>
      </c>
      <c r="C492" s="7">
        <v>44337</v>
      </c>
      <c r="D492" s="8">
        <v>250</v>
      </c>
    </row>
    <row r="493" spans="2:4" x14ac:dyDescent="0.35">
      <c r="B493">
        <v>127</v>
      </c>
      <c r="C493" s="7">
        <v>44337</v>
      </c>
      <c r="D493" s="8">
        <v>250</v>
      </c>
    </row>
    <row r="494" spans="2:4" x14ac:dyDescent="0.35">
      <c r="B494">
        <v>122</v>
      </c>
      <c r="C494" s="7">
        <v>44336</v>
      </c>
      <c r="D494" s="8">
        <v>30</v>
      </c>
    </row>
    <row r="495" spans="2:4" x14ac:dyDescent="0.35">
      <c r="B495">
        <v>121</v>
      </c>
      <c r="C495" s="7">
        <v>44335</v>
      </c>
      <c r="D495" s="8">
        <v>250</v>
      </c>
    </row>
    <row r="496" spans="2:4" x14ac:dyDescent="0.35">
      <c r="B496">
        <v>118</v>
      </c>
      <c r="C496" s="7">
        <v>44334</v>
      </c>
      <c r="D496" s="8">
        <v>250</v>
      </c>
    </row>
    <row r="497" spans="2:4" x14ac:dyDescent="0.35">
      <c r="B497">
        <v>119</v>
      </c>
      <c r="C497" s="7">
        <v>44334</v>
      </c>
      <c r="D497" s="8">
        <v>250</v>
      </c>
    </row>
    <row r="498" spans="2:4" x14ac:dyDescent="0.35">
      <c r="B498">
        <v>120</v>
      </c>
      <c r="C498" s="7">
        <v>44334</v>
      </c>
      <c r="D498" s="8">
        <v>130</v>
      </c>
    </row>
    <row r="499" spans="2:4" x14ac:dyDescent="0.35">
      <c r="B499">
        <v>115</v>
      </c>
      <c r="C499" s="7">
        <v>44333</v>
      </c>
      <c r="D499" s="8">
        <v>2500</v>
      </c>
    </row>
    <row r="500" spans="2:4" x14ac:dyDescent="0.35">
      <c r="B500">
        <v>116</v>
      </c>
      <c r="C500" s="7">
        <v>44333</v>
      </c>
      <c r="D500" s="8">
        <v>2500</v>
      </c>
    </row>
    <row r="501" spans="2:4" x14ac:dyDescent="0.35">
      <c r="B501">
        <v>117</v>
      </c>
      <c r="C501" s="7">
        <v>44333</v>
      </c>
      <c r="D501" s="8">
        <v>500</v>
      </c>
    </row>
    <row r="502" spans="2:4" x14ac:dyDescent="0.35">
      <c r="B502">
        <v>113</v>
      </c>
      <c r="C502" s="7">
        <v>44332</v>
      </c>
      <c r="D502" s="8">
        <v>500</v>
      </c>
    </row>
    <row r="503" spans="2:4" x14ac:dyDescent="0.35">
      <c r="B503">
        <v>114</v>
      </c>
      <c r="C503" s="7">
        <v>44332</v>
      </c>
      <c r="D503" s="8">
        <v>130</v>
      </c>
    </row>
    <row r="504" spans="2:4" x14ac:dyDescent="0.35">
      <c r="B504">
        <v>112</v>
      </c>
      <c r="C504" s="7">
        <v>44331</v>
      </c>
      <c r="D504" s="8">
        <v>250</v>
      </c>
    </row>
    <row r="505" spans="2:4" x14ac:dyDescent="0.35">
      <c r="B505">
        <v>110</v>
      </c>
      <c r="C505" s="7">
        <v>44330</v>
      </c>
      <c r="D505" s="8">
        <v>1250</v>
      </c>
    </row>
    <row r="506" spans="2:4" x14ac:dyDescent="0.35">
      <c r="B506">
        <v>111</v>
      </c>
      <c r="C506" s="7">
        <v>44330</v>
      </c>
      <c r="D506" s="8">
        <v>2500</v>
      </c>
    </row>
    <row r="507" spans="2:4" x14ac:dyDescent="0.35">
      <c r="B507">
        <v>108</v>
      </c>
      <c r="C507" s="7">
        <v>44329</v>
      </c>
      <c r="D507" s="8">
        <v>100</v>
      </c>
    </row>
    <row r="508" spans="2:4" x14ac:dyDescent="0.35">
      <c r="B508">
        <v>109</v>
      </c>
      <c r="C508" s="7">
        <v>44329</v>
      </c>
      <c r="D508" s="8">
        <v>250</v>
      </c>
    </row>
    <row r="509" spans="2:4" x14ac:dyDescent="0.35">
      <c r="B509">
        <v>102</v>
      </c>
      <c r="C509" s="7">
        <v>44328</v>
      </c>
      <c r="D509" s="8">
        <v>1000</v>
      </c>
    </row>
    <row r="510" spans="2:4" x14ac:dyDescent="0.35">
      <c r="B510">
        <v>103</v>
      </c>
      <c r="C510" s="7">
        <v>44328</v>
      </c>
      <c r="D510" s="8">
        <v>1250</v>
      </c>
    </row>
    <row r="511" spans="2:4" x14ac:dyDescent="0.35">
      <c r="B511">
        <v>104</v>
      </c>
      <c r="C511" s="7">
        <v>44328</v>
      </c>
      <c r="D511" s="8">
        <v>1000</v>
      </c>
    </row>
    <row r="512" spans="2:4" x14ac:dyDescent="0.35">
      <c r="B512">
        <v>105</v>
      </c>
      <c r="C512" s="7">
        <v>44328</v>
      </c>
      <c r="D512" s="8">
        <v>1000</v>
      </c>
    </row>
    <row r="513" spans="2:4" x14ac:dyDescent="0.35">
      <c r="B513">
        <v>106</v>
      </c>
      <c r="C513" s="7">
        <v>44328</v>
      </c>
      <c r="D513" s="8">
        <v>500</v>
      </c>
    </row>
    <row r="514" spans="2:4" x14ac:dyDescent="0.35">
      <c r="B514">
        <v>107</v>
      </c>
      <c r="C514" s="7">
        <v>44328</v>
      </c>
      <c r="D514" s="8">
        <v>250</v>
      </c>
    </row>
    <row r="515" spans="2:4" x14ac:dyDescent="0.35">
      <c r="B515">
        <v>101</v>
      </c>
      <c r="C515" s="7">
        <v>44327</v>
      </c>
      <c r="D515" s="8">
        <v>250</v>
      </c>
    </row>
    <row r="516" spans="2:4" x14ac:dyDescent="0.35">
      <c r="B516">
        <v>98</v>
      </c>
      <c r="C516" s="7">
        <v>44326</v>
      </c>
      <c r="D516" s="8">
        <v>2500</v>
      </c>
    </row>
    <row r="517" spans="2:4" x14ac:dyDescent="0.35">
      <c r="B517">
        <v>99</v>
      </c>
      <c r="C517" s="7">
        <v>44326</v>
      </c>
      <c r="D517" s="8">
        <v>500</v>
      </c>
    </row>
    <row r="518" spans="2:4" x14ac:dyDescent="0.35">
      <c r="B518">
        <v>100</v>
      </c>
      <c r="C518" s="7">
        <v>44326</v>
      </c>
      <c r="D518" s="8">
        <v>250</v>
      </c>
    </row>
    <row r="519" spans="2:4" x14ac:dyDescent="0.35">
      <c r="B519">
        <v>96</v>
      </c>
      <c r="C519" s="7">
        <v>44325</v>
      </c>
      <c r="D519" s="8">
        <v>250</v>
      </c>
    </row>
    <row r="520" spans="2:4" x14ac:dyDescent="0.35">
      <c r="B520">
        <v>97</v>
      </c>
      <c r="C520" s="7">
        <v>44325</v>
      </c>
      <c r="D520" s="8">
        <v>250</v>
      </c>
    </row>
    <row r="521" spans="2:4" x14ac:dyDescent="0.35">
      <c r="B521">
        <v>94</v>
      </c>
      <c r="C521" s="7">
        <v>44324</v>
      </c>
      <c r="D521" s="8">
        <v>5000</v>
      </c>
    </row>
    <row r="522" spans="2:4" x14ac:dyDescent="0.35">
      <c r="B522">
        <v>95</v>
      </c>
      <c r="C522" s="7">
        <v>44324</v>
      </c>
      <c r="D522" s="8">
        <v>250</v>
      </c>
    </row>
    <row r="523" spans="2:4" x14ac:dyDescent="0.35">
      <c r="B523">
        <v>91</v>
      </c>
      <c r="C523" s="7">
        <v>44323</v>
      </c>
      <c r="D523" s="8">
        <v>250</v>
      </c>
    </row>
    <row r="524" spans="2:4" x14ac:dyDescent="0.35">
      <c r="B524">
        <v>92</v>
      </c>
      <c r="C524" s="7">
        <v>44323</v>
      </c>
      <c r="D524" s="8">
        <v>250</v>
      </c>
    </row>
    <row r="525" spans="2:4" x14ac:dyDescent="0.35">
      <c r="B525">
        <v>93</v>
      </c>
      <c r="C525" s="7">
        <v>44323</v>
      </c>
      <c r="D525" s="8">
        <v>250</v>
      </c>
    </row>
    <row r="526" spans="2:4" x14ac:dyDescent="0.35">
      <c r="B526">
        <v>88</v>
      </c>
      <c r="C526" s="7">
        <v>44322</v>
      </c>
      <c r="D526" s="8">
        <v>500</v>
      </c>
    </row>
    <row r="527" spans="2:4" x14ac:dyDescent="0.35">
      <c r="B527">
        <v>89</v>
      </c>
      <c r="C527" s="7">
        <v>44322</v>
      </c>
      <c r="D527" s="8">
        <v>250</v>
      </c>
    </row>
    <row r="528" spans="2:4" x14ac:dyDescent="0.35">
      <c r="B528">
        <v>90</v>
      </c>
      <c r="C528" s="7">
        <v>44322</v>
      </c>
      <c r="D528" s="8">
        <v>250</v>
      </c>
    </row>
    <row r="529" spans="2:4" x14ac:dyDescent="0.35">
      <c r="B529">
        <v>86</v>
      </c>
      <c r="C529" s="7">
        <v>44321</v>
      </c>
      <c r="D529" s="8">
        <v>62500</v>
      </c>
    </row>
    <row r="530" spans="2:4" x14ac:dyDescent="0.35">
      <c r="B530">
        <v>87</v>
      </c>
      <c r="C530" s="7">
        <v>44321</v>
      </c>
      <c r="D530" s="8">
        <v>1000</v>
      </c>
    </row>
    <row r="531" spans="2:4" x14ac:dyDescent="0.35">
      <c r="B531">
        <v>83</v>
      </c>
      <c r="C531" s="7">
        <v>44320</v>
      </c>
      <c r="D531" s="8">
        <v>250</v>
      </c>
    </row>
    <row r="532" spans="2:4" x14ac:dyDescent="0.35">
      <c r="B532">
        <v>84</v>
      </c>
      <c r="C532" s="7">
        <v>44320</v>
      </c>
      <c r="D532" s="8">
        <v>250</v>
      </c>
    </row>
    <row r="533" spans="2:4" x14ac:dyDescent="0.35">
      <c r="B533">
        <v>85</v>
      </c>
      <c r="C533" s="7">
        <v>44320</v>
      </c>
      <c r="D533" s="8">
        <v>130</v>
      </c>
    </row>
    <row r="534" spans="2:4" x14ac:dyDescent="0.35">
      <c r="B534">
        <v>78</v>
      </c>
      <c r="C534" s="7">
        <v>44319</v>
      </c>
      <c r="D534" s="8">
        <v>500</v>
      </c>
    </row>
    <row r="535" spans="2:4" x14ac:dyDescent="0.35">
      <c r="B535">
        <v>79</v>
      </c>
      <c r="C535" s="7">
        <v>44319</v>
      </c>
      <c r="D535" s="8">
        <v>250</v>
      </c>
    </row>
    <row r="536" spans="2:4" x14ac:dyDescent="0.35">
      <c r="B536">
        <v>80</v>
      </c>
      <c r="C536" s="7">
        <v>44319</v>
      </c>
      <c r="D536" s="8">
        <v>250</v>
      </c>
    </row>
    <row r="537" spans="2:4" x14ac:dyDescent="0.35">
      <c r="B537">
        <v>81</v>
      </c>
      <c r="C537" s="7">
        <v>44319</v>
      </c>
      <c r="D537" s="8">
        <v>500</v>
      </c>
    </row>
    <row r="538" spans="2:4" x14ac:dyDescent="0.35">
      <c r="B538">
        <v>82</v>
      </c>
      <c r="C538" s="7">
        <v>44319</v>
      </c>
      <c r="D538" s="8">
        <v>250</v>
      </c>
    </row>
    <row r="539" spans="2:4" x14ac:dyDescent="0.35">
      <c r="B539">
        <v>75</v>
      </c>
      <c r="C539" s="7">
        <v>44318</v>
      </c>
      <c r="D539" s="8">
        <v>250</v>
      </c>
    </row>
    <row r="540" spans="2:4" x14ac:dyDescent="0.35">
      <c r="B540">
        <v>76</v>
      </c>
      <c r="C540" s="7">
        <v>44318</v>
      </c>
      <c r="D540" s="8">
        <v>250</v>
      </c>
    </row>
    <row r="541" spans="2:4" x14ac:dyDescent="0.35">
      <c r="B541">
        <v>77</v>
      </c>
      <c r="C541" s="7">
        <v>44318</v>
      </c>
      <c r="D541" s="8">
        <v>30</v>
      </c>
    </row>
    <row r="542" spans="2:4" x14ac:dyDescent="0.35">
      <c r="B542">
        <v>71</v>
      </c>
      <c r="C542" s="7">
        <v>44317</v>
      </c>
      <c r="D542" s="8">
        <v>10000</v>
      </c>
    </row>
    <row r="543" spans="2:4" x14ac:dyDescent="0.35">
      <c r="B543">
        <v>72</v>
      </c>
      <c r="C543" s="7">
        <v>44317</v>
      </c>
      <c r="D543" s="8">
        <v>250</v>
      </c>
    </row>
    <row r="544" spans="2:4" x14ac:dyDescent="0.35">
      <c r="B544">
        <v>73</v>
      </c>
      <c r="C544" s="7">
        <v>44317</v>
      </c>
      <c r="D544" s="8">
        <v>130</v>
      </c>
    </row>
    <row r="545" spans="2:4" x14ac:dyDescent="0.35">
      <c r="B545">
        <v>74</v>
      </c>
      <c r="C545" s="7">
        <v>44317</v>
      </c>
      <c r="D545" s="8">
        <v>250</v>
      </c>
    </row>
    <row r="546" spans="2:4" x14ac:dyDescent="0.35">
      <c r="B546">
        <v>70</v>
      </c>
      <c r="C546" s="7">
        <v>44316</v>
      </c>
      <c r="D546" s="8">
        <v>1000</v>
      </c>
    </row>
    <row r="547" spans="2:4" x14ac:dyDescent="0.35">
      <c r="B547">
        <v>68</v>
      </c>
      <c r="C547" s="7">
        <v>44315</v>
      </c>
      <c r="D547" s="8">
        <v>1000</v>
      </c>
    </row>
    <row r="548" spans="2:4" x14ac:dyDescent="0.35">
      <c r="B548">
        <v>69</v>
      </c>
      <c r="C548" s="7">
        <v>44315</v>
      </c>
      <c r="D548" s="8">
        <v>130</v>
      </c>
    </row>
    <row r="549" spans="2:4" x14ac:dyDescent="0.35">
      <c r="B549">
        <v>67</v>
      </c>
      <c r="C549" s="7">
        <v>44314</v>
      </c>
      <c r="D549" s="8">
        <v>250</v>
      </c>
    </row>
    <row r="550" spans="2:4" x14ac:dyDescent="0.35">
      <c r="B550">
        <v>63</v>
      </c>
      <c r="C550" s="7">
        <v>44313</v>
      </c>
      <c r="D550" s="8">
        <v>630</v>
      </c>
    </row>
    <row r="551" spans="2:4" x14ac:dyDescent="0.35">
      <c r="B551">
        <v>64</v>
      </c>
      <c r="C551" s="7">
        <v>44313</v>
      </c>
      <c r="D551" s="8">
        <v>1000</v>
      </c>
    </row>
    <row r="552" spans="2:4" x14ac:dyDescent="0.35">
      <c r="B552">
        <v>65</v>
      </c>
      <c r="C552" s="7">
        <v>44313</v>
      </c>
      <c r="D552" s="8">
        <v>500</v>
      </c>
    </row>
    <row r="553" spans="2:4" x14ac:dyDescent="0.35">
      <c r="B553">
        <v>66</v>
      </c>
      <c r="C553" s="7">
        <v>44313</v>
      </c>
      <c r="D553" s="8">
        <v>500</v>
      </c>
    </row>
    <row r="554" spans="2:4" x14ac:dyDescent="0.35">
      <c r="B554">
        <v>60</v>
      </c>
      <c r="C554" s="7">
        <v>44312</v>
      </c>
      <c r="D554" s="8">
        <v>250</v>
      </c>
    </row>
    <row r="555" spans="2:4" x14ac:dyDescent="0.35">
      <c r="B555">
        <v>61</v>
      </c>
      <c r="C555" s="7">
        <v>44312</v>
      </c>
      <c r="D555" s="8">
        <v>250</v>
      </c>
    </row>
    <row r="556" spans="2:4" x14ac:dyDescent="0.35">
      <c r="B556">
        <v>62</v>
      </c>
      <c r="C556" s="7">
        <v>44312</v>
      </c>
      <c r="D556" s="8">
        <v>250</v>
      </c>
    </row>
    <row r="557" spans="2:4" x14ac:dyDescent="0.35">
      <c r="B557">
        <v>59</v>
      </c>
      <c r="C557" s="7">
        <v>44311</v>
      </c>
      <c r="D557" s="8">
        <v>500</v>
      </c>
    </row>
    <row r="558" spans="2:4" x14ac:dyDescent="0.35">
      <c r="B558">
        <v>58</v>
      </c>
      <c r="C558" s="7">
        <v>44309</v>
      </c>
      <c r="D558" s="8">
        <v>1000</v>
      </c>
    </row>
    <row r="559" spans="2:4" x14ac:dyDescent="0.35">
      <c r="B559">
        <v>55</v>
      </c>
      <c r="C559" s="7">
        <v>44308</v>
      </c>
      <c r="D559" s="8">
        <v>5000</v>
      </c>
    </row>
    <row r="560" spans="2:4" x14ac:dyDescent="0.35">
      <c r="B560">
        <v>56</v>
      </c>
      <c r="C560" s="7">
        <v>44308</v>
      </c>
      <c r="D560" s="8">
        <v>250</v>
      </c>
    </row>
    <row r="561" spans="2:4" x14ac:dyDescent="0.35">
      <c r="B561">
        <v>57</v>
      </c>
      <c r="C561" s="7">
        <v>44308</v>
      </c>
      <c r="D561" s="8">
        <v>500</v>
      </c>
    </row>
    <row r="562" spans="2:4" x14ac:dyDescent="0.35">
      <c r="B562">
        <v>50</v>
      </c>
      <c r="C562" s="7">
        <v>44307</v>
      </c>
      <c r="D562" s="8">
        <v>1000</v>
      </c>
    </row>
    <row r="563" spans="2:4" x14ac:dyDescent="0.35">
      <c r="B563">
        <v>51</v>
      </c>
      <c r="C563" s="7">
        <v>44307</v>
      </c>
      <c r="D563" s="8">
        <v>500</v>
      </c>
    </row>
    <row r="564" spans="2:4" x14ac:dyDescent="0.35">
      <c r="B564">
        <v>52</v>
      </c>
      <c r="C564" s="7">
        <v>44307</v>
      </c>
      <c r="D564" s="8">
        <v>250</v>
      </c>
    </row>
    <row r="565" spans="2:4" x14ac:dyDescent="0.35">
      <c r="B565">
        <v>53</v>
      </c>
      <c r="C565" s="7">
        <v>44307</v>
      </c>
      <c r="D565" s="8">
        <v>250</v>
      </c>
    </row>
    <row r="566" spans="2:4" x14ac:dyDescent="0.35">
      <c r="B566">
        <v>54</v>
      </c>
      <c r="C566" s="7">
        <v>44307</v>
      </c>
      <c r="D566" s="8">
        <v>250</v>
      </c>
    </row>
    <row r="567" spans="2:4" x14ac:dyDescent="0.35">
      <c r="B567">
        <v>49</v>
      </c>
      <c r="C567" s="7">
        <v>44306</v>
      </c>
      <c r="D567" s="8">
        <v>250</v>
      </c>
    </row>
    <row r="568" spans="2:4" x14ac:dyDescent="0.35">
      <c r="B568">
        <v>48</v>
      </c>
      <c r="C568" s="7">
        <v>44305</v>
      </c>
      <c r="D568" s="8">
        <v>250</v>
      </c>
    </row>
    <row r="569" spans="2:4" x14ac:dyDescent="0.35">
      <c r="B569">
        <v>43</v>
      </c>
      <c r="C569" s="7">
        <v>44304</v>
      </c>
      <c r="D569" s="8">
        <v>500</v>
      </c>
    </row>
    <row r="570" spans="2:4" x14ac:dyDescent="0.35">
      <c r="B570">
        <v>44</v>
      </c>
      <c r="C570" s="7">
        <v>44304</v>
      </c>
      <c r="D570" s="8">
        <v>250</v>
      </c>
    </row>
    <row r="571" spans="2:4" x14ac:dyDescent="0.35">
      <c r="B571">
        <v>45</v>
      </c>
      <c r="C571" s="7">
        <v>44304</v>
      </c>
      <c r="D571" s="8">
        <v>250</v>
      </c>
    </row>
    <row r="572" spans="2:4" x14ac:dyDescent="0.35">
      <c r="B572">
        <v>46</v>
      </c>
      <c r="C572" s="7">
        <v>44304</v>
      </c>
      <c r="D572" s="8">
        <v>130</v>
      </c>
    </row>
    <row r="573" spans="2:4" x14ac:dyDescent="0.35">
      <c r="B573">
        <v>47</v>
      </c>
      <c r="C573" s="7">
        <v>44304</v>
      </c>
      <c r="D573" s="8">
        <v>130</v>
      </c>
    </row>
    <row r="574" spans="2:4" x14ac:dyDescent="0.35">
      <c r="B574">
        <v>42</v>
      </c>
      <c r="C574" s="7">
        <v>44303</v>
      </c>
      <c r="D574" s="8">
        <v>1000</v>
      </c>
    </row>
    <row r="575" spans="2:4" x14ac:dyDescent="0.35">
      <c r="B575">
        <v>39</v>
      </c>
      <c r="C575" s="7">
        <v>44302</v>
      </c>
      <c r="D575" s="8">
        <v>2500</v>
      </c>
    </row>
    <row r="576" spans="2:4" x14ac:dyDescent="0.35">
      <c r="B576">
        <v>40</v>
      </c>
      <c r="C576" s="7">
        <v>44302</v>
      </c>
      <c r="D576" s="8">
        <v>2500</v>
      </c>
    </row>
    <row r="577" spans="2:4" x14ac:dyDescent="0.35">
      <c r="B577">
        <v>41</v>
      </c>
      <c r="C577" s="7">
        <v>44302</v>
      </c>
      <c r="D577" s="8">
        <v>250</v>
      </c>
    </row>
    <row r="578" spans="2:4" x14ac:dyDescent="0.35">
      <c r="B578">
        <v>36</v>
      </c>
      <c r="C578" s="7">
        <v>44301</v>
      </c>
      <c r="D578" s="8">
        <v>250</v>
      </c>
    </row>
    <row r="579" spans="2:4" x14ac:dyDescent="0.35">
      <c r="B579">
        <v>37</v>
      </c>
      <c r="C579" s="7">
        <v>44301</v>
      </c>
      <c r="D579" s="8">
        <v>130</v>
      </c>
    </row>
    <row r="580" spans="2:4" x14ac:dyDescent="0.35">
      <c r="B580">
        <v>38</v>
      </c>
      <c r="C580" s="7">
        <v>44301</v>
      </c>
      <c r="D580" s="8">
        <v>250</v>
      </c>
    </row>
    <row r="581" spans="2:4" x14ac:dyDescent="0.35">
      <c r="B581">
        <v>33</v>
      </c>
      <c r="C581" s="7">
        <v>44300</v>
      </c>
      <c r="D581" s="8">
        <v>250</v>
      </c>
    </row>
    <row r="582" spans="2:4" x14ac:dyDescent="0.35">
      <c r="B582">
        <v>34</v>
      </c>
      <c r="C582" s="7">
        <v>44300</v>
      </c>
      <c r="D582" s="8">
        <v>500</v>
      </c>
    </row>
    <row r="583" spans="2:4" x14ac:dyDescent="0.35">
      <c r="B583">
        <v>35</v>
      </c>
      <c r="C583" s="7">
        <v>44300</v>
      </c>
      <c r="D583" s="8">
        <v>250</v>
      </c>
    </row>
    <row r="584" spans="2:4" x14ac:dyDescent="0.35">
      <c r="B584">
        <v>30</v>
      </c>
      <c r="C584" s="7">
        <v>44299</v>
      </c>
      <c r="D584" s="8">
        <v>62500</v>
      </c>
    </row>
    <row r="585" spans="2:4" x14ac:dyDescent="0.35">
      <c r="B585">
        <v>31</v>
      </c>
      <c r="C585" s="7">
        <v>44299</v>
      </c>
      <c r="D585" s="8">
        <v>1000</v>
      </c>
    </row>
    <row r="586" spans="2:4" x14ac:dyDescent="0.35">
      <c r="B586">
        <v>32</v>
      </c>
      <c r="C586" s="7">
        <v>44299</v>
      </c>
      <c r="D586" s="8">
        <v>500</v>
      </c>
    </row>
    <row r="587" spans="2:4" x14ac:dyDescent="0.35">
      <c r="B587">
        <v>28</v>
      </c>
      <c r="C587" s="7">
        <v>44298</v>
      </c>
      <c r="D587" s="8">
        <v>5000</v>
      </c>
    </row>
    <row r="588" spans="2:4" x14ac:dyDescent="0.35">
      <c r="B588">
        <v>29</v>
      </c>
      <c r="C588" s="7">
        <v>44298</v>
      </c>
      <c r="D588" s="8">
        <v>5000</v>
      </c>
    </row>
    <row r="589" spans="2:4" x14ac:dyDescent="0.35">
      <c r="B589">
        <v>23</v>
      </c>
      <c r="C589" s="7">
        <v>44297</v>
      </c>
      <c r="D589" s="8">
        <v>500</v>
      </c>
    </row>
    <row r="590" spans="2:4" x14ac:dyDescent="0.35">
      <c r="B590">
        <v>24</v>
      </c>
      <c r="C590" s="7">
        <v>44297</v>
      </c>
      <c r="D590" s="8">
        <v>250</v>
      </c>
    </row>
    <row r="591" spans="2:4" x14ac:dyDescent="0.35">
      <c r="B591">
        <v>25</v>
      </c>
      <c r="C591" s="7">
        <v>44297</v>
      </c>
      <c r="D591" s="8">
        <v>130</v>
      </c>
    </row>
    <row r="592" spans="2:4" x14ac:dyDescent="0.35">
      <c r="B592">
        <v>26</v>
      </c>
      <c r="C592" s="7">
        <v>44297</v>
      </c>
      <c r="D592" s="8">
        <v>130</v>
      </c>
    </row>
    <row r="593" spans="2:4" x14ac:dyDescent="0.35">
      <c r="B593">
        <v>27</v>
      </c>
      <c r="C593" s="7">
        <v>44297</v>
      </c>
      <c r="D593" s="8">
        <v>250</v>
      </c>
    </row>
    <row r="594" spans="2:4" x14ac:dyDescent="0.35">
      <c r="B594">
        <v>21</v>
      </c>
      <c r="C594" s="7">
        <v>44296</v>
      </c>
      <c r="D594" s="8">
        <v>130</v>
      </c>
    </row>
    <row r="595" spans="2:4" x14ac:dyDescent="0.35">
      <c r="B595">
        <v>22</v>
      </c>
      <c r="C595" s="7">
        <v>44296</v>
      </c>
      <c r="D595" s="8">
        <v>250</v>
      </c>
    </row>
    <row r="596" spans="2:4" x14ac:dyDescent="0.35">
      <c r="B596">
        <v>18</v>
      </c>
      <c r="C596" s="7">
        <v>44294</v>
      </c>
      <c r="D596" s="8">
        <v>2500</v>
      </c>
    </row>
    <row r="597" spans="2:4" x14ac:dyDescent="0.35">
      <c r="B597">
        <v>19</v>
      </c>
      <c r="C597" s="7">
        <v>44294</v>
      </c>
      <c r="D597" s="8">
        <v>250</v>
      </c>
    </row>
    <row r="598" spans="2:4" x14ac:dyDescent="0.35">
      <c r="B598">
        <v>20</v>
      </c>
      <c r="C598" s="7">
        <v>44294</v>
      </c>
      <c r="D598" s="8">
        <v>500</v>
      </c>
    </row>
    <row r="599" spans="2:4" x14ac:dyDescent="0.35">
      <c r="B599">
        <v>9</v>
      </c>
      <c r="C599" s="7">
        <v>44293</v>
      </c>
      <c r="D599" s="8">
        <v>1250</v>
      </c>
    </row>
    <row r="600" spans="2:4" x14ac:dyDescent="0.35">
      <c r="B600">
        <v>10</v>
      </c>
      <c r="C600" s="7">
        <v>44293</v>
      </c>
      <c r="D600" s="8">
        <v>630</v>
      </c>
    </row>
    <row r="601" spans="2:4" x14ac:dyDescent="0.35">
      <c r="B601">
        <v>11</v>
      </c>
      <c r="C601" s="7">
        <v>44293</v>
      </c>
      <c r="D601" s="8">
        <v>250</v>
      </c>
    </row>
    <row r="602" spans="2:4" x14ac:dyDescent="0.35">
      <c r="B602">
        <v>12</v>
      </c>
      <c r="C602" s="7">
        <v>44293</v>
      </c>
      <c r="D602" s="8">
        <v>500</v>
      </c>
    </row>
    <row r="603" spans="2:4" x14ac:dyDescent="0.35">
      <c r="B603">
        <v>13</v>
      </c>
      <c r="C603" s="7">
        <v>44293</v>
      </c>
      <c r="D603" s="8">
        <v>250</v>
      </c>
    </row>
    <row r="604" spans="2:4" x14ac:dyDescent="0.35">
      <c r="B604">
        <v>14</v>
      </c>
      <c r="C604" s="7">
        <v>44293</v>
      </c>
      <c r="D604" s="8">
        <v>250</v>
      </c>
    </row>
    <row r="605" spans="2:4" x14ac:dyDescent="0.35">
      <c r="B605">
        <v>15</v>
      </c>
      <c r="C605" s="7">
        <v>44293</v>
      </c>
      <c r="D605" s="8">
        <v>250</v>
      </c>
    </row>
    <row r="606" spans="2:4" x14ac:dyDescent="0.35">
      <c r="B606">
        <v>16</v>
      </c>
      <c r="C606" s="7">
        <v>44293</v>
      </c>
      <c r="D606" s="8">
        <v>60</v>
      </c>
    </row>
    <row r="607" spans="2:4" x14ac:dyDescent="0.35">
      <c r="B607">
        <v>17</v>
      </c>
      <c r="C607" s="7">
        <v>44293</v>
      </c>
      <c r="D607" s="8">
        <v>130</v>
      </c>
    </row>
    <row r="608" spans="2:4" x14ac:dyDescent="0.35">
      <c r="B608">
        <v>5</v>
      </c>
      <c r="C608" s="7">
        <v>44292</v>
      </c>
      <c r="D608" s="8">
        <v>500</v>
      </c>
    </row>
    <row r="609" spans="2:4" x14ac:dyDescent="0.35">
      <c r="B609">
        <v>6</v>
      </c>
      <c r="C609" s="7">
        <v>44292</v>
      </c>
      <c r="D609" s="8">
        <v>250</v>
      </c>
    </row>
    <row r="610" spans="2:4" x14ac:dyDescent="0.35">
      <c r="B610">
        <v>7</v>
      </c>
      <c r="C610" s="7">
        <v>44292</v>
      </c>
      <c r="D610" s="8">
        <v>130</v>
      </c>
    </row>
    <row r="611" spans="2:4" x14ac:dyDescent="0.35">
      <c r="B611">
        <v>8</v>
      </c>
      <c r="C611" s="7">
        <v>44292</v>
      </c>
      <c r="D611" s="8">
        <v>130</v>
      </c>
    </row>
    <row r="612" spans="2:4" x14ac:dyDescent="0.35">
      <c r="B612">
        <v>1</v>
      </c>
      <c r="C612" s="7">
        <v>44291</v>
      </c>
      <c r="D612" s="8">
        <v>5000</v>
      </c>
    </row>
    <row r="613" spans="2:4" x14ac:dyDescent="0.35">
      <c r="B613">
        <v>2</v>
      </c>
      <c r="C613" s="7">
        <v>44291</v>
      </c>
      <c r="D613" s="8">
        <v>500</v>
      </c>
    </row>
    <row r="614" spans="2:4" x14ac:dyDescent="0.35">
      <c r="B614">
        <v>3</v>
      </c>
      <c r="C614" s="7">
        <v>44291</v>
      </c>
      <c r="D614" s="8">
        <v>500</v>
      </c>
    </row>
    <row r="615" spans="2:4" x14ac:dyDescent="0.35">
      <c r="B615">
        <v>4</v>
      </c>
      <c r="C615" s="7">
        <v>44291</v>
      </c>
      <c r="D615" s="8">
        <v>250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66C8C-D5CE-42E1-8BDC-AF97BDC6B233}">
  <sheetPr codeName="Sheet6"/>
  <dimension ref="B1:G16"/>
  <sheetViews>
    <sheetView zoomScale="120" zoomScaleNormal="120" workbookViewId="0"/>
  </sheetViews>
  <sheetFormatPr defaultRowHeight="14.5" x14ac:dyDescent="0.35"/>
  <cols>
    <col min="1" max="1" width="3.54296875" customWidth="1"/>
    <col min="2" max="2" width="10.7265625" bestFit="1" customWidth="1"/>
    <col min="3" max="3" width="6.90625" bestFit="1" customWidth="1"/>
    <col min="4" max="4" width="12.1796875" bestFit="1" customWidth="1"/>
    <col min="5" max="5" width="13.36328125" bestFit="1" customWidth="1"/>
    <col min="6" max="6" width="9.81640625" bestFit="1" customWidth="1"/>
    <col min="7" max="7" width="16.81640625" bestFit="1" customWidth="1"/>
  </cols>
  <sheetData>
    <row r="1" spans="2:7" ht="25.5" x14ac:dyDescent="0.55000000000000004">
      <c r="B1" s="5" t="s">
        <v>0</v>
      </c>
    </row>
    <row r="2" spans="2:7" ht="18.5" x14ac:dyDescent="0.45">
      <c r="B2" s="6" t="s">
        <v>1903</v>
      </c>
    </row>
    <row r="4" spans="2:7" x14ac:dyDescent="0.35">
      <c r="B4" s="16" t="s">
        <v>1869</v>
      </c>
      <c r="C4" t="s">
        <v>1893</v>
      </c>
      <c r="D4" t="s">
        <v>1891</v>
      </c>
      <c r="E4" t="s">
        <v>1892</v>
      </c>
      <c r="F4" t="s">
        <v>1894</v>
      </c>
      <c r="G4" t="s">
        <v>1895</v>
      </c>
    </row>
    <row r="5" spans="2:7" x14ac:dyDescent="0.35">
      <c r="B5" s="8">
        <v>250</v>
      </c>
      <c r="C5" s="10">
        <v>174</v>
      </c>
      <c r="D5" s="17">
        <v>43500</v>
      </c>
      <c r="E5" s="17">
        <v>42085</v>
      </c>
      <c r="F5" s="18">
        <v>141</v>
      </c>
      <c r="G5" s="19">
        <v>0.81034482758620685</v>
      </c>
    </row>
    <row r="6" spans="2:7" x14ac:dyDescent="0.35">
      <c r="B6" s="8">
        <v>500</v>
      </c>
      <c r="C6" s="10">
        <v>138</v>
      </c>
      <c r="D6" s="17">
        <v>69000</v>
      </c>
      <c r="E6" s="17">
        <v>60435</v>
      </c>
      <c r="F6" s="18">
        <v>89</v>
      </c>
      <c r="G6" s="19">
        <v>0.64492753623188404</v>
      </c>
    </row>
    <row r="7" spans="2:7" x14ac:dyDescent="0.35">
      <c r="B7" s="8">
        <v>1000</v>
      </c>
      <c r="C7" s="10">
        <v>67</v>
      </c>
      <c r="D7" s="17">
        <v>67000</v>
      </c>
      <c r="E7" s="17">
        <v>56075</v>
      </c>
      <c r="F7" s="18">
        <v>37</v>
      </c>
      <c r="G7" s="19">
        <v>0.55223880597014929</v>
      </c>
    </row>
    <row r="8" spans="2:7" x14ac:dyDescent="0.35">
      <c r="B8" s="8">
        <v>2500</v>
      </c>
      <c r="C8" s="10">
        <v>28</v>
      </c>
      <c r="D8" s="17">
        <v>70000</v>
      </c>
      <c r="E8" s="17">
        <v>55425</v>
      </c>
      <c r="F8" s="18">
        <v>14</v>
      </c>
      <c r="G8" s="19">
        <v>0.5</v>
      </c>
    </row>
    <row r="9" spans="2:7" x14ac:dyDescent="0.35">
      <c r="B9" s="8">
        <v>5000</v>
      </c>
      <c r="C9" s="10">
        <v>18</v>
      </c>
      <c r="D9" s="17">
        <v>90000</v>
      </c>
      <c r="E9" s="17">
        <v>68800</v>
      </c>
      <c r="F9" s="18">
        <v>10</v>
      </c>
      <c r="G9" s="19">
        <v>0.55555555555555558</v>
      </c>
    </row>
    <row r="10" spans="2:7" x14ac:dyDescent="0.35">
      <c r="B10" s="8">
        <v>10000</v>
      </c>
      <c r="C10" s="10">
        <v>12</v>
      </c>
      <c r="D10" s="17">
        <v>120000</v>
      </c>
      <c r="E10" s="17">
        <v>89300</v>
      </c>
      <c r="F10" s="18">
        <v>5</v>
      </c>
      <c r="G10" s="19">
        <v>0.41666666666666669</v>
      </c>
    </row>
    <row r="11" spans="2:7" x14ac:dyDescent="0.35">
      <c r="B11" s="8">
        <v>25000</v>
      </c>
      <c r="C11" s="10">
        <v>3</v>
      </c>
      <c r="D11" s="17">
        <v>75000</v>
      </c>
      <c r="E11" s="17">
        <v>36500</v>
      </c>
      <c r="F11" s="18">
        <v>0</v>
      </c>
      <c r="G11" s="19">
        <v>0</v>
      </c>
    </row>
    <row r="12" spans="2:7" x14ac:dyDescent="0.35">
      <c r="B12" s="8">
        <v>50000</v>
      </c>
      <c r="C12" s="10">
        <v>2</v>
      </c>
      <c r="D12" s="17">
        <v>100000</v>
      </c>
      <c r="E12" s="17">
        <v>62500</v>
      </c>
      <c r="F12" s="18">
        <v>1</v>
      </c>
      <c r="G12" s="19">
        <v>0.5</v>
      </c>
    </row>
    <row r="13" spans="2:7" x14ac:dyDescent="0.35">
      <c r="B13" s="8">
        <v>100000</v>
      </c>
      <c r="C13" s="10">
        <v>2</v>
      </c>
      <c r="D13" s="17">
        <v>200000</v>
      </c>
      <c r="E13" s="17">
        <v>35000</v>
      </c>
      <c r="F13" s="18">
        <v>0</v>
      </c>
      <c r="G13" s="19">
        <v>0</v>
      </c>
    </row>
    <row r="14" spans="2:7" x14ac:dyDescent="0.35">
      <c r="B14" s="8">
        <v>250000</v>
      </c>
      <c r="C14" s="10">
        <v>3</v>
      </c>
      <c r="D14" s="17">
        <v>750000</v>
      </c>
      <c r="E14" s="17">
        <v>520000</v>
      </c>
      <c r="F14" s="18">
        <v>0</v>
      </c>
      <c r="G14" s="19">
        <v>0</v>
      </c>
    </row>
    <row r="15" spans="2:7" x14ac:dyDescent="0.35">
      <c r="B15" s="8">
        <v>500000</v>
      </c>
      <c r="C15" s="10">
        <v>1</v>
      </c>
      <c r="D15" s="17">
        <v>500000</v>
      </c>
      <c r="E15" s="17">
        <v>230000</v>
      </c>
      <c r="F15" s="18">
        <v>0</v>
      </c>
      <c r="G15" s="19">
        <v>0</v>
      </c>
    </row>
    <row r="16" spans="2:7" x14ac:dyDescent="0.35">
      <c r="B16" t="s">
        <v>1890</v>
      </c>
      <c r="C16" s="10">
        <v>448</v>
      </c>
      <c r="D16" s="17">
        <v>2084500</v>
      </c>
      <c r="E16" s="17">
        <v>1256120</v>
      </c>
      <c r="F16" s="18">
        <v>297</v>
      </c>
      <c r="G16" s="19">
        <v>0.6629464285714286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4BE4A-5CA8-40F1-A9D3-E4A2705C20A4}">
  <sheetPr codeName="Sheet7"/>
  <dimension ref="B1:C171"/>
  <sheetViews>
    <sheetView zoomScale="120" zoomScaleNormal="120" workbookViewId="0"/>
  </sheetViews>
  <sheetFormatPr defaultRowHeight="14.5" x14ac:dyDescent="0.35"/>
  <cols>
    <col min="1" max="1" width="3.54296875" customWidth="1"/>
    <col min="2" max="2" width="9.453125" bestFit="1" customWidth="1"/>
    <col min="3" max="3" width="9.7265625" bestFit="1" customWidth="1"/>
  </cols>
  <sheetData>
    <row r="1" spans="2:3" ht="25.5" x14ac:dyDescent="0.55000000000000004">
      <c r="B1" s="5" t="s">
        <v>0</v>
      </c>
    </row>
    <row r="2" spans="2:3" ht="18.5" x14ac:dyDescent="0.45">
      <c r="B2" s="6" t="s">
        <v>1904</v>
      </c>
    </row>
    <row r="4" spans="2:3" x14ac:dyDescent="0.35">
      <c r="B4" s="16" t="s">
        <v>2</v>
      </c>
      <c r="C4" t="s">
        <v>1896</v>
      </c>
    </row>
    <row r="5" spans="2:3" x14ac:dyDescent="0.35">
      <c r="B5" s="7">
        <v>44291</v>
      </c>
      <c r="C5" s="17">
        <v>6250</v>
      </c>
    </row>
    <row r="6" spans="2:3" x14ac:dyDescent="0.35">
      <c r="B6" s="7">
        <v>44292</v>
      </c>
      <c r="C6" s="17">
        <v>7260</v>
      </c>
    </row>
    <row r="7" spans="2:3" x14ac:dyDescent="0.35">
      <c r="B7" s="7">
        <v>44293</v>
      </c>
      <c r="C7" s="17">
        <v>10830</v>
      </c>
    </row>
    <row r="8" spans="2:3" x14ac:dyDescent="0.35">
      <c r="B8" s="7">
        <v>44294</v>
      </c>
      <c r="C8" s="17">
        <v>14080</v>
      </c>
    </row>
    <row r="9" spans="2:3" x14ac:dyDescent="0.35">
      <c r="B9" s="7">
        <v>44296</v>
      </c>
      <c r="C9" s="17">
        <v>14460</v>
      </c>
    </row>
    <row r="10" spans="2:3" x14ac:dyDescent="0.35">
      <c r="B10" s="7">
        <v>44297</v>
      </c>
      <c r="C10" s="17">
        <v>15720</v>
      </c>
    </row>
    <row r="11" spans="2:3" x14ac:dyDescent="0.35">
      <c r="B11" s="7">
        <v>44298</v>
      </c>
      <c r="C11" s="17">
        <v>25720</v>
      </c>
    </row>
    <row r="12" spans="2:3" x14ac:dyDescent="0.35">
      <c r="B12" s="7">
        <v>44299</v>
      </c>
      <c r="C12" s="17">
        <v>89720</v>
      </c>
    </row>
    <row r="13" spans="2:3" x14ac:dyDescent="0.35">
      <c r="B13" s="7">
        <v>44300</v>
      </c>
      <c r="C13" s="17">
        <v>90720</v>
      </c>
    </row>
    <row r="14" spans="2:3" x14ac:dyDescent="0.35">
      <c r="B14" s="7">
        <v>44301</v>
      </c>
      <c r="C14" s="17">
        <v>91350</v>
      </c>
    </row>
    <row r="15" spans="2:3" x14ac:dyDescent="0.35">
      <c r="B15" s="7">
        <v>44302</v>
      </c>
      <c r="C15" s="17">
        <v>96600</v>
      </c>
    </row>
    <row r="16" spans="2:3" x14ac:dyDescent="0.35">
      <c r="B16" s="7">
        <v>44303</v>
      </c>
      <c r="C16" s="17">
        <v>97600</v>
      </c>
    </row>
    <row r="17" spans="2:3" x14ac:dyDescent="0.35">
      <c r="B17" s="7">
        <v>44304</v>
      </c>
      <c r="C17" s="17">
        <v>98860</v>
      </c>
    </row>
    <row r="18" spans="2:3" x14ac:dyDescent="0.35">
      <c r="B18" s="7">
        <v>44305</v>
      </c>
      <c r="C18" s="17">
        <v>99110</v>
      </c>
    </row>
    <row r="19" spans="2:3" x14ac:dyDescent="0.35">
      <c r="B19" s="7">
        <v>44306</v>
      </c>
      <c r="C19" s="17">
        <v>99360</v>
      </c>
    </row>
    <row r="20" spans="2:3" x14ac:dyDescent="0.35">
      <c r="B20" s="7">
        <v>44307</v>
      </c>
      <c r="C20" s="17">
        <v>101610</v>
      </c>
    </row>
    <row r="21" spans="2:3" x14ac:dyDescent="0.35">
      <c r="B21" s="7">
        <v>44308</v>
      </c>
      <c r="C21" s="17">
        <v>107360</v>
      </c>
    </row>
    <row r="22" spans="2:3" x14ac:dyDescent="0.35">
      <c r="B22" s="7">
        <v>44309</v>
      </c>
      <c r="C22" s="17">
        <v>108360</v>
      </c>
    </row>
    <row r="23" spans="2:3" x14ac:dyDescent="0.35">
      <c r="B23" s="7">
        <v>44311</v>
      </c>
      <c r="C23" s="17">
        <v>108860</v>
      </c>
    </row>
    <row r="24" spans="2:3" x14ac:dyDescent="0.35">
      <c r="B24" s="7">
        <v>44312</v>
      </c>
      <c r="C24" s="17">
        <v>109610</v>
      </c>
    </row>
    <row r="25" spans="2:3" x14ac:dyDescent="0.35">
      <c r="B25" s="7">
        <v>44313</v>
      </c>
      <c r="C25" s="17">
        <v>112240</v>
      </c>
    </row>
    <row r="26" spans="2:3" x14ac:dyDescent="0.35">
      <c r="B26" s="7">
        <v>44314</v>
      </c>
      <c r="C26" s="17">
        <v>112490</v>
      </c>
    </row>
    <row r="27" spans="2:3" x14ac:dyDescent="0.35">
      <c r="B27" s="7">
        <v>44315</v>
      </c>
      <c r="C27" s="17">
        <v>113620</v>
      </c>
    </row>
    <row r="28" spans="2:3" x14ac:dyDescent="0.35">
      <c r="B28" s="7">
        <v>44316</v>
      </c>
      <c r="C28" s="17">
        <v>114620</v>
      </c>
    </row>
    <row r="29" spans="2:3" x14ac:dyDescent="0.35">
      <c r="B29" s="7">
        <v>44317</v>
      </c>
      <c r="C29" s="17">
        <v>125250</v>
      </c>
    </row>
    <row r="30" spans="2:3" x14ac:dyDescent="0.35">
      <c r="B30" s="7">
        <v>44318</v>
      </c>
      <c r="C30" s="17">
        <v>125780</v>
      </c>
    </row>
    <row r="31" spans="2:3" x14ac:dyDescent="0.35">
      <c r="B31" s="7">
        <v>44319</v>
      </c>
      <c r="C31" s="17">
        <v>127530</v>
      </c>
    </row>
    <row r="32" spans="2:3" x14ac:dyDescent="0.35">
      <c r="B32" s="7">
        <v>44320</v>
      </c>
      <c r="C32" s="17">
        <v>128160</v>
      </c>
    </row>
    <row r="33" spans="2:3" x14ac:dyDescent="0.35">
      <c r="B33" s="7">
        <v>44321</v>
      </c>
      <c r="C33" s="17">
        <v>191660</v>
      </c>
    </row>
    <row r="34" spans="2:3" x14ac:dyDescent="0.35">
      <c r="B34" s="7">
        <v>44322</v>
      </c>
      <c r="C34" s="17">
        <v>192660</v>
      </c>
    </row>
    <row r="35" spans="2:3" x14ac:dyDescent="0.35">
      <c r="B35" s="7">
        <v>44323</v>
      </c>
      <c r="C35" s="17">
        <v>193410</v>
      </c>
    </row>
    <row r="36" spans="2:3" x14ac:dyDescent="0.35">
      <c r="B36" s="7">
        <v>44324</v>
      </c>
      <c r="C36" s="17">
        <v>198660</v>
      </c>
    </row>
    <row r="37" spans="2:3" x14ac:dyDescent="0.35">
      <c r="B37" s="7">
        <v>44325</v>
      </c>
      <c r="C37" s="17">
        <v>199160</v>
      </c>
    </row>
    <row r="38" spans="2:3" x14ac:dyDescent="0.35">
      <c r="B38" s="7">
        <v>44326</v>
      </c>
      <c r="C38" s="17">
        <v>202410</v>
      </c>
    </row>
    <row r="39" spans="2:3" x14ac:dyDescent="0.35">
      <c r="B39" s="7">
        <v>44327</v>
      </c>
      <c r="C39" s="17">
        <v>202660</v>
      </c>
    </row>
    <row r="40" spans="2:3" x14ac:dyDescent="0.35">
      <c r="B40" s="7">
        <v>44328</v>
      </c>
      <c r="C40" s="17">
        <v>207660</v>
      </c>
    </row>
    <row r="41" spans="2:3" x14ac:dyDescent="0.35">
      <c r="B41" s="7">
        <v>44329</v>
      </c>
      <c r="C41" s="17">
        <v>208010</v>
      </c>
    </row>
    <row r="42" spans="2:3" x14ac:dyDescent="0.35">
      <c r="B42" s="7">
        <v>44330</v>
      </c>
      <c r="C42" s="17">
        <v>211760</v>
      </c>
    </row>
    <row r="43" spans="2:3" x14ac:dyDescent="0.35">
      <c r="B43" s="7">
        <v>44331</v>
      </c>
      <c r="C43" s="17">
        <v>212010</v>
      </c>
    </row>
    <row r="44" spans="2:3" x14ac:dyDescent="0.35">
      <c r="B44" s="7">
        <v>44332</v>
      </c>
      <c r="C44" s="17">
        <v>212640</v>
      </c>
    </row>
    <row r="45" spans="2:3" x14ac:dyDescent="0.35">
      <c r="B45" s="7">
        <v>44333</v>
      </c>
      <c r="C45" s="17">
        <v>218140</v>
      </c>
    </row>
    <row r="46" spans="2:3" x14ac:dyDescent="0.35">
      <c r="B46" s="7">
        <v>44334</v>
      </c>
      <c r="C46" s="17">
        <v>218770</v>
      </c>
    </row>
    <row r="47" spans="2:3" x14ac:dyDescent="0.35">
      <c r="B47" s="7">
        <v>44335</v>
      </c>
      <c r="C47" s="17">
        <v>219020</v>
      </c>
    </row>
    <row r="48" spans="2:3" x14ac:dyDescent="0.35">
      <c r="B48" s="7">
        <v>44336</v>
      </c>
      <c r="C48" s="17">
        <v>219050</v>
      </c>
    </row>
    <row r="49" spans="2:3" x14ac:dyDescent="0.35">
      <c r="B49" s="7">
        <v>44337</v>
      </c>
      <c r="C49" s="17">
        <v>271300</v>
      </c>
    </row>
    <row r="50" spans="2:3" x14ac:dyDescent="0.35">
      <c r="B50" s="7">
        <v>44338</v>
      </c>
      <c r="C50" s="17">
        <v>272550</v>
      </c>
    </row>
    <row r="51" spans="2:3" x14ac:dyDescent="0.35">
      <c r="B51" s="7">
        <v>44339</v>
      </c>
      <c r="C51" s="17">
        <v>275800</v>
      </c>
    </row>
    <row r="52" spans="2:3" x14ac:dyDescent="0.35">
      <c r="B52" s="7">
        <v>44340</v>
      </c>
      <c r="C52" s="17">
        <v>276200</v>
      </c>
    </row>
    <row r="53" spans="2:3" x14ac:dyDescent="0.35">
      <c r="B53" s="7">
        <v>44341</v>
      </c>
      <c r="C53" s="17">
        <v>427140</v>
      </c>
    </row>
    <row r="54" spans="2:3" x14ac:dyDescent="0.35">
      <c r="B54" s="7">
        <v>44342</v>
      </c>
      <c r="C54" s="17">
        <v>428490</v>
      </c>
    </row>
    <row r="55" spans="2:3" x14ac:dyDescent="0.35">
      <c r="B55" s="7">
        <v>44343</v>
      </c>
      <c r="C55" s="17">
        <v>432060</v>
      </c>
    </row>
    <row r="56" spans="2:3" x14ac:dyDescent="0.35">
      <c r="B56" s="7">
        <v>44344</v>
      </c>
      <c r="C56" s="17">
        <v>432560</v>
      </c>
    </row>
    <row r="57" spans="2:3" x14ac:dyDescent="0.35">
      <c r="B57" s="7">
        <v>44345</v>
      </c>
      <c r="C57" s="17">
        <v>434810</v>
      </c>
    </row>
    <row r="58" spans="2:3" x14ac:dyDescent="0.35">
      <c r="B58" s="7">
        <v>44346</v>
      </c>
      <c r="C58" s="17">
        <v>435960</v>
      </c>
    </row>
    <row r="59" spans="2:3" x14ac:dyDescent="0.35">
      <c r="B59" s="7">
        <v>44347</v>
      </c>
      <c r="C59" s="17">
        <v>436460</v>
      </c>
    </row>
    <row r="60" spans="2:3" x14ac:dyDescent="0.35">
      <c r="B60" s="7">
        <v>44348</v>
      </c>
      <c r="C60" s="17">
        <v>437235</v>
      </c>
    </row>
    <row r="61" spans="2:3" x14ac:dyDescent="0.35">
      <c r="B61" s="7">
        <v>44349</v>
      </c>
      <c r="C61" s="17">
        <v>442810</v>
      </c>
    </row>
    <row r="62" spans="2:3" x14ac:dyDescent="0.35">
      <c r="B62" s="7">
        <v>44350</v>
      </c>
      <c r="C62" s="17">
        <v>444810</v>
      </c>
    </row>
    <row r="63" spans="2:3" x14ac:dyDescent="0.35">
      <c r="B63" s="7">
        <v>44351</v>
      </c>
      <c r="C63" s="17">
        <v>597590</v>
      </c>
    </row>
    <row r="64" spans="2:3" x14ac:dyDescent="0.35">
      <c r="B64" s="7">
        <v>44352</v>
      </c>
      <c r="C64" s="17">
        <v>598690</v>
      </c>
    </row>
    <row r="65" spans="2:3" x14ac:dyDescent="0.35">
      <c r="B65" s="7">
        <v>44353</v>
      </c>
      <c r="C65" s="17">
        <v>599575</v>
      </c>
    </row>
    <row r="66" spans="2:3" x14ac:dyDescent="0.35">
      <c r="B66" s="7">
        <v>44354</v>
      </c>
      <c r="C66" s="17">
        <v>605075</v>
      </c>
    </row>
    <row r="67" spans="2:3" x14ac:dyDescent="0.35">
      <c r="B67" s="7">
        <v>44355</v>
      </c>
      <c r="C67" s="17">
        <v>606325</v>
      </c>
    </row>
    <row r="68" spans="2:3" x14ac:dyDescent="0.35">
      <c r="B68" s="7">
        <v>44356</v>
      </c>
      <c r="C68" s="17">
        <v>610980</v>
      </c>
    </row>
    <row r="69" spans="2:3" x14ac:dyDescent="0.35">
      <c r="B69" s="7">
        <v>44357</v>
      </c>
      <c r="C69" s="17">
        <v>611760</v>
      </c>
    </row>
    <row r="70" spans="2:3" x14ac:dyDescent="0.35">
      <c r="B70" s="7">
        <v>44358</v>
      </c>
      <c r="C70" s="17">
        <v>612660</v>
      </c>
    </row>
    <row r="71" spans="2:3" x14ac:dyDescent="0.35">
      <c r="B71" s="7">
        <v>44359</v>
      </c>
      <c r="C71" s="17">
        <v>614160</v>
      </c>
    </row>
    <row r="72" spans="2:3" x14ac:dyDescent="0.35">
      <c r="B72" s="7">
        <v>44360</v>
      </c>
      <c r="C72" s="17">
        <v>614810</v>
      </c>
    </row>
    <row r="73" spans="2:3" x14ac:dyDescent="0.35">
      <c r="B73" s="7">
        <v>44361</v>
      </c>
      <c r="C73" s="17">
        <v>614885</v>
      </c>
    </row>
    <row r="74" spans="2:3" x14ac:dyDescent="0.35">
      <c r="B74" s="7">
        <v>44362</v>
      </c>
      <c r="C74" s="17">
        <v>617185</v>
      </c>
    </row>
    <row r="75" spans="2:3" x14ac:dyDescent="0.35">
      <c r="B75" s="7">
        <v>44363</v>
      </c>
      <c r="C75" s="17">
        <v>619065</v>
      </c>
    </row>
    <row r="76" spans="2:3" x14ac:dyDescent="0.35">
      <c r="B76" s="7">
        <v>44364</v>
      </c>
      <c r="C76" s="17">
        <v>621515</v>
      </c>
    </row>
    <row r="77" spans="2:3" x14ac:dyDescent="0.35">
      <c r="B77" s="7">
        <v>44365</v>
      </c>
      <c r="C77" s="17">
        <v>621790</v>
      </c>
    </row>
    <row r="78" spans="2:3" x14ac:dyDescent="0.35">
      <c r="B78" s="7">
        <v>44366</v>
      </c>
      <c r="C78" s="17">
        <v>622290</v>
      </c>
    </row>
    <row r="79" spans="2:3" x14ac:dyDescent="0.35">
      <c r="B79" s="7">
        <v>44367</v>
      </c>
      <c r="C79" s="17">
        <v>623420</v>
      </c>
    </row>
    <row r="80" spans="2:3" x14ac:dyDescent="0.35">
      <c r="B80" s="7">
        <v>44368</v>
      </c>
      <c r="C80" s="17">
        <v>631930</v>
      </c>
    </row>
    <row r="81" spans="2:3" x14ac:dyDescent="0.35">
      <c r="B81" s="7">
        <v>44369</v>
      </c>
      <c r="C81" s="17">
        <v>632930</v>
      </c>
    </row>
    <row r="82" spans="2:3" x14ac:dyDescent="0.35">
      <c r="B82" s="7">
        <v>44370</v>
      </c>
      <c r="C82" s="17">
        <v>635460</v>
      </c>
    </row>
    <row r="83" spans="2:3" x14ac:dyDescent="0.35">
      <c r="B83" s="7">
        <v>44371</v>
      </c>
      <c r="C83" s="17">
        <v>639885</v>
      </c>
    </row>
    <row r="84" spans="2:3" x14ac:dyDescent="0.35">
      <c r="B84" s="7">
        <v>44372</v>
      </c>
      <c r="C84" s="17">
        <v>642310</v>
      </c>
    </row>
    <row r="85" spans="2:3" x14ac:dyDescent="0.35">
      <c r="B85" s="7">
        <v>44373</v>
      </c>
      <c r="C85" s="17">
        <v>642440</v>
      </c>
    </row>
    <row r="86" spans="2:3" x14ac:dyDescent="0.35">
      <c r="B86" s="7">
        <v>44374</v>
      </c>
      <c r="C86" s="17">
        <v>644965</v>
      </c>
    </row>
    <row r="87" spans="2:3" x14ac:dyDescent="0.35">
      <c r="B87" s="7">
        <v>44375</v>
      </c>
      <c r="C87" s="17">
        <v>650415</v>
      </c>
    </row>
    <row r="88" spans="2:3" x14ac:dyDescent="0.35">
      <c r="B88" s="7">
        <v>44377</v>
      </c>
      <c r="C88" s="17">
        <v>655265</v>
      </c>
    </row>
    <row r="89" spans="2:3" x14ac:dyDescent="0.35">
      <c r="B89" s="7">
        <v>44378</v>
      </c>
      <c r="C89" s="17">
        <v>656240</v>
      </c>
    </row>
    <row r="90" spans="2:3" x14ac:dyDescent="0.35">
      <c r="B90" s="7">
        <v>44379</v>
      </c>
      <c r="C90" s="17">
        <v>657840</v>
      </c>
    </row>
    <row r="91" spans="2:3" x14ac:dyDescent="0.35">
      <c r="B91" s="7">
        <v>44380</v>
      </c>
      <c r="C91" s="17">
        <v>658265</v>
      </c>
    </row>
    <row r="92" spans="2:3" x14ac:dyDescent="0.35">
      <c r="B92" s="7">
        <v>44381</v>
      </c>
      <c r="C92" s="17">
        <v>659015</v>
      </c>
    </row>
    <row r="93" spans="2:3" x14ac:dyDescent="0.35">
      <c r="B93" s="7">
        <v>44382</v>
      </c>
      <c r="C93" s="17">
        <v>659190</v>
      </c>
    </row>
    <row r="94" spans="2:3" x14ac:dyDescent="0.35">
      <c r="B94" s="7">
        <v>44383</v>
      </c>
      <c r="C94" s="17">
        <v>666865</v>
      </c>
    </row>
    <row r="95" spans="2:3" x14ac:dyDescent="0.35">
      <c r="B95" s="7">
        <v>44384</v>
      </c>
      <c r="C95" s="17">
        <v>669270</v>
      </c>
    </row>
    <row r="96" spans="2:3" x14ac:dyDescent="0.35">
      <c r="B96" s="7">
        <v>44385</v>
      </c>
      <c r="C96" s="17">
        <v>671770</v>
      </c>
    </row>
    <row r="97" spans="2:3" x14ac:dyDescent="0.35">
      <c r="B97" s="7">
        <v>44386</v>
      </c>
      <c r="C97" s="17">
        <v>673120</v>
      </c>
    </row>
    <row r="98" spans="2:3" x14ac:dyDescent="0.35">
      <c r="B98" s="7">
        <v>44387</v>
      </c>
      <c r="C98" s="17">
        <v>673620</v>
      </c>
    </row>
    <row r="99" spans="2:3" x14ac:dyDescent="0.35">
      <c r="B99" s="7">
        <v>44388</v>
      </c>
      <c r="C99" s="17">
        <v>684545</v>
      </c>
    </row>
    <row r="100" spans="2:3" x14ac:dyDescent="0.35">
      <c r="B100" s="7">
        <v>44389</v>
      </c>
      <c r="C100" s="17">
        <v>685445</v>
      </c>
    </row>
    <row r="101" spans="2:3" x14ac:dyDescent="0.35">
      <c r="B101" s="7">
        <v>44390</v>
      </c>
      <c r="C101" s="17">
        <v>685770</v>
      </c>
    </row>
    <row r="102" spans="2:3" x14ac:dyDescent="0.35">
      <c r="B102" s="7">
        <v>44391</v>
      </c>
      <c r="C102" s="17">
        <v>687145</v>
      </c>
    </row>
    <row r="103" spans="2:3" x14ac:dyDescent="0.35">
      <c r="B103" s="7">
        <v>44392</v>
      </c>
      <c r="C103" s="17">
        <v>689145</v>
      </c>
    </row>
    <row r="104" spans="2:3" x14ac:dyDescent="0.35">
      <c r="B104" s="7">
        <v>44393</v>
      </c>
      <c r="C104" s="17">
        <v>699645</v>
      </c>
    </row>
    <row r="105" spans="2:3" x14ac:dyDescent="0.35">
      <c r="B105" s="7">
        <v>44394</v>
      </c>
      <c r="C105" s="17">
        <v>701495</v>
      </c>
    </row>
    <row r="106" spans="2:3" x14ac:dyDescent="0.35">
      <c r="B106" s="7">
        <v>44395</v>
      </c>
      <c r="C106" s="17">
        <v>701995</v>
      </c>
    </row>
    <row r="107" spans="2:3" x14ac:dyDescent="0.35">
      <c r="B107" s="7">
        <v>44396</v>
      </c>
      <c r="C107" s="17">
        <v>702495</v>
      </c>
    </row>
    <row r="108" spans="2:3" x14ac:dyDescent="0.35">
      <c r="B108" s="7">
        <v>44397</v>
      </c>
      <c r="C108" s="17">
        <v>703745</v>
      </c>
    </row>
    <row r="109" spans="2:3" x14ac:dyDescent="0.35">
      <c r="B109" s="7">
        <v>44399</v>
      </c>
      <c r="C109" s="17">
        <v>709045</v>
      </c>
    </row>
    <row r="110" spans="2:3" x14ac:dyDescent="0.35">
      <c r="B110" s="7">
        <v>44400</v>
      </c>
      <c r="C110" s="17">
        <v>709545</v>
      </c>
    </row>
    <row r="111" spans="2:3" x14ac:dyDescent="0.35">
      <c r="B111" s="7">
        <v>44401</v>
      </c>
      <c r="C111" s="17">
        <v>709795</v>
      </c>
    </row>
    <row r="112" spans="2:3" x14ac:dyDescent="0.35">
      <c r="B112" s="7">
        <v>44402</v>
      </c>
      <c r="C112" s="17">
        <v>710725</v>
      </c>
    </row>
    <row r="113" spans="2:3" x14ac:dyDescent="0.35">
      <c r="B113" s="7">
        <v>44403</v>
      </c>
      <c r="C113" s="17">
        <v>711725</v>
      </c>
    </row>
    <row r="114" spans="2:3" x14ac:dyDescent="0.35">
      <c r="B114" s="7">
        <v>44404</v>
      </c>
      <c r="C114" s="17">
        <v>739480</v>
      </c>
    </row>
    <row r="115" spans="2:3" x14ac:dyDescent="0.35">
      <c r="B115" s="7">
        <v>44405</v>
      </c>
      <c r="C115" s="17">
        <v>741305</v>
      </c>
    </row>
    <row r="116" spans="2:3" x14ac:dyDescent="0.35">
      <c r="B116" s="7">
        <v>44406</v>
      </c>
      <c r="C116" s="17">
        <v>761555</v>
      </c>
    </row>
    <row r="117" spans="2:3" x14ac:dyDescent="0.35">
      <c r="B117" s="7">
        <v>44407</v>
      </c>
      <c r="C117" s="17">
        <v>763305</v>
      </c>
    </row>
    <row r="118" spans="2:3" x14ac:dyDescent="0.35">
      <c r="B118" s="7">
        <v>44408</v>
      </c>
      <c r="C118" s="17">
        <v>766890</v>
      </c>
    </row>
    <row r="119" spans="2:3" x14ac:dyDescent="0.35">
      <c r="B119" s="7">
        <v>44409</v>
      </c>
      <c r="C119" s="17">
        <v>767765</v>
      </c>
    </row>
    <row r="120" spans="2:3" x14ac:dyDescent="0.35">
      <c r="B120" s="7">
        <v>44410</v>
      </c>
      <c r="C120" s="17">
        <v>772265</v>
      </c>
    </row>
    <row r="121" spans="2:3" x14ac:dyDescent="0.35">
      <c r="B121" s="7">
        <v>44411</v>
      </c>
      <c r="C121" s="17">
        <v>775315</v>
      </c>
    </row>
    <row r="122" spans="2:3" x14ac:dyDescent="0.35">
      <c r="B122" s="7">
        <v>44412</v>
      </c>
      <c r="C122" s="17">
        <v>779515</v>
      </c>
    </row>
    <row r="123" spans="2:3" x14ac:dyDescent="0.35">
      <c r="B123" s="7">
        <v>44413</v>
      </c>
      <c r="C123" s="17">
        <v>784815</v>
      </c>
    </row>
    <row r="124" spans="2:3" x14ac:dyDescent="0.35">
      <c r="B124" s="7">
        <v>44414</v>
      </c>
      <c r="C124" s="17">
        <v>786815</v>
      </c>
    </row>
    <row r="125" spans="2:3" x14ac:dyDescent="0.35">
      <c r="B125" s="7">
        <v>44415</v>
      </c>
      <c r="C125" s="17">
        <v>809765</v>
      </c>
    </row>
    <row r="126" spans="2:3" x14ac:dyDescent="0.35">
      <c r="B126" s="7">
        <v>44416</v>
      </c>
      <c r="C126" s="17">
        <v>811765</v>
      </c>
    </row>
    <row r="127" spans="2:3" x14ac:dyDescent="0.35">
      <c r="B127" s="7">
        <v>44417</v>
      </c>
      <c r="C127" s="17">
        <v>812515</v>
      </c>
    </row>
    <row r="128" spans="2:3" x14ac:dyDescent="0.35">
      <c r="B128" s="7">
        <v>44418</v>
      </c>
      <c r="C128" s="17">
        <v>816615</v>
      </c>
    </row>
    <row r="129" spans="2:3" x14ac:dyDescent="0.35">
      <c r="B129" s="7">
        <v>44419</v>
      </c>
      <c r="C129" s="17">
        <v>867665</v>
      </c>
    </row>
    <row r="130" spans="2:3" x14ac:dyDescent="0.35">
      <c r="B130" s="7">
        <v>44420</v>
      </c>
      <c r="C130" s="17">
        <v>867940</v>
      </c>
    </row>
    <row r="131" spans="2:3" x14ac:dyDescent="0.35">
      <c r="B131" s="7">
        <v>44421</v>
      </c>
      <c r="C131" s="17">
        <v>869090</v>
      </c>
    </row>
    <row r="132" spans="2:3" x14ac:dyDescent="0.35">
      <c r="B132" s="7">
        <v>44422</v>
      </c>
      <c r="C132" s="17">
        <v>869665</v>
      </c>
    </row>
    <row r="133" spans="2:3" x14ac:dyDescent="0.35">
      <c r="B133" s="7">
        <v>44423</v>
      </c>
      <c r="C133" s="17">
        <v>870940</v>
      </c>
    </row>
    <row r="134" spans="2:3" x14ac:dyDescent="0.35">
      <c r="B134" s="7">
        <v>44424</v>
      </c>
      <c r="C134" s="17">
        <v>874465</v>
      </c>
    </row>
    <row r="135" spans="2:3" x14ac:dyDescent="0.35">
      <c r="B135" s="7">
        <v>44425</v>
      </c>
      <c r="C135" s="17">
        <v>887840</v>
      </c>
    </row>
    <row r="136" spans="2:3" x14ac:dyDescent="0.35">
      <c r="B136" s="7">
        <v>44426</v>
      </c>
      <c r="C136" s="17">
        <v>889240</v>
      </c>
    </row>
    <row r="137" spans="2:3" x14ac:dyDescent="0.35">
      <c r="B137" s="7">
        <v>44427</v>
      </c>
      <c r="C137" s="17">
        <v>889620</v>
      </c>
    </row>
    <row r="138" spans="2:3" x14ac:dyDescent="0.35">
      <c r="B138" s="7">
        <v>44428</v>
      </c>
      <c r="C138" s="17">
        <v>892950</v>
      </c>
    </row>
    <row r="139" spans="2:3" x14ac:dyDescent="0.35">
      <c r="B139" s="7">
        <v>44429</v>
      </c>
      <c r="C139" s="17">
        <v>894500</v>
      </c>
    </row>
    <row r="140" spans="2:3" x14ac:dyDescent="0.35">
      <c r="B140" s="7">
        <v>44430</v>
      </c>
      <c r="C140" s="17">
        <v>904875</v>
      </c>
    </row>
    <row r="141" spans="2:3" x14ac:dyDescent="0.35">
      <c r="B141" s="7">
        <v>44431</v>
      </c>
      <c r="C141" s="17">
        <v>905275</v>
      </c>
    </row>
    <row r="142" spans="2:3" x14ac:dyDescent="0.35">
      <c r="B142" s="7">
        <v>44432</v>
      </c>
      <c r="C142" s="17">
        <v>906050</v>
      </c>
    </row>
    <row r="143" spans="2:3" x14ac:dyDescent="0.35">
      <c r="B143" s="7">
        <v>44433</v>
      </c>
      <c r="C143" s="17">
        <v>906300</v>
      </c>
    </row>
    <row r="144" spans="2:3" x14ac:dyDescent="0.35">
      <c r="B144" s="7">
        <v>44434</v>
      </c>
      <c r="C144" s="17">
        <v>906955</v>
      </c>
    </row>
    <row r="145" spans="2:3" x14ac:dyDescent="0.35">
      <c r="B145" s="7">
        <v>44435</v>
      </c>
      <c r="C145" s="17">
        <v>914205</v>
      </c>
    </row>
    <row r="146" spans="2:3" x14ac:dyDescent="0.35">
      <c r="B146" s="7">
        <v>44436</v>
      </c>
      <c r="C146" s="17">
        <v>916430</v>
      </c>
    </row>
    <row r="147" spans="2:3" x14ac:dyDescent="0.35">
      <c r="B147" s="7">
        <v>44437</v>
      </c>
      <c r="C147" s="17">
        <v>917685</v>
      </c>
    </row>
    <row r="148" spans="2:3" x14ac:dyDescent="0.35">
      <c r="B148" s="7">
        <v>44438</v>
      </c>
      <c r="C148" s="17">
        <v>920215</v>
      </c>
    </row>
    <row r="149" spans="2:3" x14ac:dyDescent="0.35">
      <c r="B149" s="7">
        <v>44439</v>
      </c>
      <c r="C149" s="17">
        <v>921240</v>
      </c>
    </row>
    <row r="150" spans="2:3" x14ac:dyDescent="0.35">
      <c r="B150" s="7">
        <v>44440</v>
      </c>
      <c r="C150" s="17">
        <v>922590</v>
      </c>
    </row>
    <row r="151" spans="2:3" x14ac:dyDescent="0.35">
      <c r="B151" s="7">
        <v>44441</v>
      </c>
      <c r="C151" s="17">
        <v>925265</v>
      </c>
    </row>
    <row r="152" spans="2:3" x14ac:dyDescent="0.35">
      <c r="B152" s="7">
        <v>44442</v>
      </c>
      <c r="C152" s="17">
        <v>925290</v>
      </c>
    </row>
    <row r="153" spans="2:3" x14ac:dyDescent="0.35">
      <c r="B153" s="7">
        <v>44443</v>
      </c>
      <c r="C153" s="17">
        <v>938865</v>
      </c>
    </row>
    <row r="154" spans="2:3" x14ac:dyDescent="0.35">
      <c r="B154" s="7">
        <v>44444</v>
      </c>
      <c r="C154" s="17">
        <v>939365</v>
      </c>
    </row>
    <row r="155" spans="2:3" x14ac:dyDescent="0.35">
      <c r="B155" s="7">
        <v>44445</v>
      </c>
      <c r="C155" s="17">
        <v>941495</v>
      </c>
    </row>
    <row r="156" spans="2:3" x14ac:dyDescent="0.35">
      <c r="B156" s="7">
        <v>44446</v>
      </c>
      <c r="C156" s="17">
        <v>945245</v>
      </c>
    </row>
    <row r="157" spans="2:3" x14ac:dyDescent="0.35">
      <c r="B157" s="7">
        <v>44447</v>
      </c>
      <c r="C157" s="17">
        <v>946570</v>
      </c>
    </row>
    <row r="158" spans="2:3" x14ac:dyDescent="0.35">
      <c r="B158" s="7">
        <v>44448</v>
      </c>
      <c r="C158" s="17">
        <v>949220</v>
      </c>
    </row>
    <row r="159" spans="2:3" x14ac:dyDescent="0.35">
      <c r="B159" s="7">
        <v>44449</v>
      </c>
      <c r="C159" s="17">
        <v>952520</v>
      </c>
    </row>
    <row r="160" spans="2:3" x14ac:dyDescent="0.35">
      <c r="B160" s="7">
        <v>44450</v>
      </c>
      <c r="C160" s="17">
        <v>960770</v>
      </c>
    </row>
    <row r="161" spans="2:3" x14ac:dyDescent="0.35">
      <c r="B161" s="7">
        <v>44451</v>
      </c>
      <c r="C161" s="17">
        <v>1157395</v>
      </c>
    </row>
    <row r="162" spans="2:3" x14ac:dyDescent="0.35">
      <c r="B162" s="7">
        <v>44452</v>
      </c>
      <c r="C162" s="17">
        <v>1160145</v>
      </c>
    </row>
    <row r="163" spans="2:3" x14ac:dyDescent="0.35">
      <c r="B163" s="7">
        <v>44453</v>
      </c>
      <c r="C163" s="17">
        <v>1163245</v>
      </c>
    </row>
    <row r="164" spans="2:3" x14ac:dyDescent="0.35">
      <c r="B164" s="7">
        <v>44454</v>
      </c>
      <c r="C164" s="17">
        <v>1165970</v>
      </c>
    </row>
    <row r="165" spans="2:3" x14ac:dyDescent="0.35">
      <c r="B165" s="7">
        <v>44455</v>
      </c>
      <c r="C165" s="17">
        <v>1166045</v>
      </c>
    </row>
    <row r="166" spans="2:3" x14ac:dyDescent="0.35">
      <c r="B166" s="7">
        <v>44456</v>
      </c>
      <c r="C166" s="17">
        <v>1166245</v>
      </c>
    </row>
    <row r="167" spans="2:3" x14ac:dyDescent="0.35">
      <c r="B167" s="7">
        <v>44457</v>
      </c>
      <c r="C167" s="17">
        <v>1228845</v>
      </c>
    </row>
    <row r="168" spans="2:3" x14ac:dyDescent="0.35">
      <c r="B168" s="7">
        <v>44458</v>
      </c>
      <c r="C168" s="17">
        <v>1238970</v>
      </c>
    </row>
    <row r="169" spans="2:3" x14ac:dyDescent="0.35">
      <c r="B169" s="7">
        <v>44459</v>
      </c>
      <c r="C169" s="17">
        <v>1239370</v>
      </c>
    </row>
    <row r="170" spans="2:3" x14ac:dyDescent="0.35">
      <c r="B170" s="7">
        <v>44464</v>
      </c>
      <c r="C170" s="17">
        <v>1246120</v>
      </c>
    </row>
    <row r="171" spans="2:3" x14ac:dyDescent="0.35">
      <c r="B171" s="7">
        <v>44465</v>
      </c>
      <c r="C171" s="17">
        <v>1256120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A9746-0786-4696-9EDA-8F034C230E5E}">
  <sheetPr codeName="Sheet8"/>
  <dimension ref="B1:C15"/>
  <sheetViews>
    <sheetView zoomScale="120" zoomScaleNormal="120" workbookViewId="0"/>
  </sheetViews>
  <sheetFormatPr defaultRowHeight="14.5" x14ac:dyDescent="0.35"/>
  <cols>
    <col min="1" max="1" width="4" customWidth="1"/>
    <col min="2" max="2" width="16.26953125" customWidth="1"/>
    <col min="3" max="3" width="17.1796875" customWidth="1"/>
  </cols>
  <sheetData>
    <row r="1" spans="2:3" ht="25.5" x14ac:dyDescent="0.55000000000000004">
      <c r="B1" s="5" t="s">
        <v>0</v>
      </c>
    </row>
    <row r="2" spans="2:3" ht="18.5" x14ac:dyDescent="0.45">
      <c r="B2" s="6" t="s">
        <v>1904</v>
      </c>
    </row>
    <row r="4" spans="2:3" x14ac:dyDescent="0.35">
      <c r="B4" s="24" t="s">
        <v>1905</v>
      </c>
      <c r="C4" s="24" t="s">
        <v>1906</v>
      </c>
    </row>
    <row r="5" spans="2:3" x14ac:dyDescent="0.35">
      <c r="B5" s="14" t="str">
        <f>TEXT('Pledge Tables'!B5,"$#,###") &amp; " Donors"</f>
        <v>$250 Donors</v>
      </c>
      <c r="C5" s="25">
        <f>'Pledge Tables'!F5</f>
        <v>141</v>
      </c>
    </row>
    <row r="6" spans="2:3" x14ac:dyDescent="0.35">
      <c r="B6" s="14" t="str">
        <f>TEXT('Pledge Tables'!B6,"$#,###") &amp; " Donors"</f>
        <v>$500 Donors</v>
      </c>
      <c r="C6" s="25">
        <f>'Pledge Tables'!F6</f>
        <v>89</v>
      </c>
    </row>
    <row r="7" spans="2:3" x14ac:dyDescent="0.35">
      <c r="B7" s="14" t="str">
        <f>TEXT('Pledge Tables'!B7,"$#,###") &amp; " Donors"</f>
        <v>$1,000 Donors</v>
      </c>
      <c r="C7" s="25">
        <f>'Pledge Tables'!F7</f>
        <v>37</v>
      </c>
    </row>
    <row r="8" spans="2:3" x14ac:dyDescent="0.35">
      <c r="B8" s="14" t="str">
        <f>TEXT('Pledge Tables'!B8,"$#,###") &amp; " Donors"</f>
        <v>$2,500 Donors</v>
      </c>
      <c r="C8" s="25">
        <f>'Pledge Tables'!F8</f>
        <v>14</v>
      </c>
    </row>
    <row r="9" spans="2:3" x14ac:dyDescent="0.35">
      <c r="B9" s="14" t="str">
        <f>TEXT('Pledge Tables'!B9,"$#,###") &amp; " Donors"</f>
        <v>$5,000 Donors</v>
      </c>
      <c r="C9" s="25">
        <f>'Pledge Tables'!F9</f>
        <v>10</v>
      </c>
    </row>
    <row r="10" spans="2:3" x14ac:dyDescent="0.35">
      <c r="B10" s="14" t="str">
        <f>TEXT('Pledge Tables'!B10,"$#,###") &amp; " Donors"</f>
        <v>$10,000 Donors</v>
      </c>
      <c r="C10" s="25">
        <f>'Pledge Tables'!F10</f>
        <v>5</v>
      </c>
    </row>
    <row r="11" spans="2:3" x14ac:dyDescent="0.35">
      <c r="B11" s="14" t="str">
        <f>TEXT('Pledge Tables'!B11,"$#,###") &amp; " Donors"</f>
        <v>$25,000 Donors</v>
      </c>
      <c r="C11" s="25">
        <f>'Pledge Tables'!F11</f>
        <v>0</v>
      </c>
    </row>
    <row r="12" spans="2:3" x14ac:dyDescent="0.35">
      <c r="B12" s="14" t="str">
        <f>TEXT('Pledge Tables'!B12,"$#,###") &amp; " Donors"</f>
        <v>$50,000 Donors</v>
      </c>
      <c r="C12" s="25">
        <f>'Pledge Tables'!F12</f>
        <v>1</v>
      </c>
    </row>
    <row r="13" spans="2:3" x14ac:dyDescent="0.35">
      <c r="B13" s="14" t="str">
        <f>TEXT('Pledge Tables'!B13,"$#,###") &amp; " Donors"</f>
        <v>$100,000 Donors</v>
      </c>
      <c r="C13" s="25">
        <f>'Pledge Tables'!F13</f>
        <v>0</v>
      </c>
    </row>
    <row r="14" spans="2:3" x14ac:dyDescent="0.35">
      <c r="B14" s="14" t="str">
        <f>TEXT('Pledge Tables'!B14,"$#,###") &amp; " Donors"</f>
        <v>$250,000 Donors</v>
      </c>
      <c r="C14" s="25">
        <f>'Pledge Tables'!F14</f>
        <v>0</v>
      </c>
    </row>
    <row r="15" spans="2:3" x14ac:dyDescent="0.35">
      <c r="B15" s="14" t="str">
        <f>TEXT('Pledge Tables'!B15,"$#,###") &amp; " Donors"</f>
        <v>$500,000 Donors</v>
      </c>
      <c r="C15" s="25">
        <f>'Pledge Tables'!F15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47A10-83CE-43F2-889E-D75E075CCEB9}">
  <sheetPr codeName="Sheet9"/>
  <dimension ref="B1:D27"/>
  <sheetViews>
    <sheetView zoomScale="120" zoomScaleNormal="120" workbookViewId="0"/>
  </sheetViews>
  <sheetFormatPr defaultRowHeight="14.5" x14ac:dyDescent="0.35"/>
  <cols>
    <col min="1" max="1" width="3.81640625" customWidth="1"/>
    <col min="2" max="2" width="20.26953125" customWidth="1"/>
    <col min="3" max="3" width="47.81640625" customWidth="1"/>
    <col min="4" max="4" width="51.453125" customWidth="1"/>
  </cols>
  <sheetData>
    <row r="1" spans="2:3" ht="25.5" x14ac:dyDescent="0.55000000000000004">
      <c r="B1" s="5" t="s">
        <v>0</v>
      </c>
    </row>
    <row r="2" spans="2:3" ht="18.5" x14ac:dyDescent="0.45">
      <c r="B2" s="6" t="s">
        <v>1876</v>
      </c>
    </row>
    <row r="4" spans="2:3" ht="15.5" x14ac:dyDescent="0.35">
      <c r="B4" s="15" t="s">
        <v>1873</v>
      </c>
    </row>
    <row r="5" spans="2:3" x14ac:dyDescent="0.35">
      <c r="B5" s="11" t="s">
        <v>1887</v>
      </c>
      <c r="C5" s="11" t="s">
        <v>1877</v>
      </c>
    </row>
    <row r="6" spans="2:3" x14ac:dyDescent="0.35">
      <c r="B6" s="12" t="s">
        <v>1872</v>
      </c>
      <c r="C6" s="13" t="s">
        <v>1878</v>
      </c>
    </row>
    <row r="7" spans="2:3" x14ac:dyDescent="0.35">
      <c r="B7" s="12" t="s">
        <v>1869</v>
      </c>
      <c r="C7" s="14" t="s">
        <v>1886</v>
      </c>
    </row>
    <row r="8" spans="2:3" x14ac:dyDescent="0.35">
      <c r="B8" s="12" t="s">
        <v>1862</v>
      </c>
      <c r="C8" s="13" t="s">
        <v>1879</v>
      </c>
    </row>
    <row r="9" spans="2:3" x14ac:dyDescent="0.35">
      <c r="B9" s="12" t="s">
        <v>1863</v>
      </c>
      <c r="C9" s="13" t="s">
        <v>1880</v>
      </c>
    </row>
    <row r="10" spans="2:3" x14ac:dyDescent="0.35">
      <c r="B10" s="12" t="s">
        <v>1864</v>
      </c>
      <c r="C10" s="13" t="s">
        <v>1881</v>
      </c>
    </row>
    <row r="11" spans="2:3" x14ac:dyDescent="0.35">
      <c r="B11" s="12" t="s">
        <v>1865</v>
      </c>
      <c r="C11" s="13" t="s">
        <v>1882</v>
      </c>
    </row>
    <row r="12" spans="2:3" x14ac:dyDescent="0.35">
      <c r="B12" s="12" t="s">
        <v>1866</v>
      </c>
      <c r="C12" s="13" t="s">
        <v>1883</v>
      </c>
    </row>
    <row r="13" spans="2:3" x14ac:dyDescent="0.35">
      <c r="B13" s="12" t="s">
        <v>1867</v>
      </c>
      <c r="C13" s="13" t="s">
        <v>1884</v>
      </c>
    </row>
    <row r="14" spans="2:3" x14ac:dyDescent="0.35">
      <c r="B14" s="12" t="s">
        <v>1868</v>
      </c>
      <c r="C14" s="13" t="s">
        <v>1885</v>
      </c>
    </row>
    <row r="16" spans="2:3" ht="15.5" x14ac:dyDescent="0.35">
      <c r="B16" s="15" t="s">
        <v>1874</v>
      </c>
    </row>
    <row r="17" spans="2:4" x14ac:dyDescent="0.35">
      <c r="B17" s="11" t="s">
        <v>1887</v>
      </c>
      <c r="C17" s="11" t="s">
        <v>1877</v>
      </c>
    </row>
    <row r="18" spans="2:4" x14ac:dyDescent="0.35">
      <c r="B18" s="12" t="s">
        <v>1872</v>
      </c>
      <c r="C18" s="13" t="s">
        <v>1878</v>
      </c>
    </row>
    <row r="19" spans="2:4" x14ac:dyDescent="0.35">
      <c r="B19" s="12" t="s">
        <v>2</v>
      </c>
      <c r="C19" s="14" t="s">
        <v>1888</v>
      </c>
    </row>
    <row r="20" spans="2:4" x14ac:dyDescent="0.35">
      <c r="B20" s="12" t="s">
        <v>1875</v>
      </c>
      <c r="C20" s="13" t="s">
        <v>1889</v>
      </c>
    </row>
    <row r="22" spans="2:4" ht="15.5" x14ac:dyDescent="0.35">
      <c r="B22" s="15" t="s">
        <v>1907</v>
      </c>
    </row>
    <row r="23" spans="2:4" x14ac:dyDescent="0.35">
      <c r="B23" s="11" t="s">
        <v>1908</v>
      </c>
      <c r="C23" s="11" t="s">
        <v>1909</v>
      </c>
      <c r="D23" s="11" t="s">
        <v>1914</v>
      </c>
    </row>
    <row r="24" spans="2:4" ht="29" x14ac:dyDescent="0.35">
      <c r="B24" s="12" t="s">
        <v>1894</v>
      </c>
      <c r="C24" s="13" t="s">
        <v>1910</v>
      </c>
      <c r="D24" s="26" t="s">
        <v>1915</v>
      </c>
    </row>
    <row r="25" spans="2:4" ht="29" x14ac:dyDescent="0.35">
      <c r="B25" s="12" t="s">
        <v>1895</v>
      </c>
      <c r="C25" s="13" t="s">
        <v>1911</v>
      </c>
      <c r="D25" s="26" t="s">
        <v>1916</v>
      </c>
    </row>
    <row r="26" spans="2:4" ht="29" x14ac:dyDescent="0.35">
      <c r="B26" s="12" t="s">
        <v>1892</v>
      </c>
      <c r="C26" s="13" t="s">
        <v>1912</v>
      </c>
      <c r="D26" s="26" t="s">
        <v>1917</v>
      </c>
    </row>
    <row r="27" spans="2:4" x14ac:dyDescent="0.35">
      <c r="B27" s="12" t="s">
        <v>1891</v>
      </c>
      <c r="C27" s="13" t="s">
        <v>1913</v>
      </c>
      <c r="D27" s="26" t="s">
        <v>1918</v>
      </c>
    </row>
  </sheetData>
  <sheetProtection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F5EBEA67-8694-40B1-8F35-1F99B6767258}">
  <ds:schemaRefs/>
</ds:datastoreItem>
</file>

<file path=customXml/itemProps2.xml><?xml version="1.0" encoding="utf-8"?>
<ds:datastoreItem xmlns:ds="http://schemas.openxmlformats.org/officeDocument/2006/customXml" ds:itemID="{D0820F37-9AF8-43A5-B786-4BD6B35F2BBC}">
  <ds:schemaRefs/>
</ds:datastoreItem>
</file>

<file path=customXml/itemProps3.xml><?xml version="1.0" encoding="utf-8"?>
<ds:datastoreItem xmlns:ds="http://schemas.openxmlformats.org/officeDocument/2006/customXml" ds:itemID="{A828751F-85A5-4187-86D4-CE9AFAC8B89B}">
  <ds:schemaRefs/>
</ds:datastoreItem>
</file>

<file path=customXml/itemProps4.xml><?xml version="1.0" encoding="utf-8"?>
<ds:datastoreItem xmlns:ds="http://schemas.openxmlformats.org/officeDocument/2006/customXml" ds:itemID="{97400DEE-CC8E-4D83-8CD5-2BAF78C281F9}">
  <ds:schemaRefs/>
</ds:datastoreItem>
</file>

<file path=customXml/itemProps5.xml><?xml version="1.0" encoding="utf-8"?>
<ds:datastoreItem xmlns:ds="http://schemas.openxmlformats.org/officeDocument/2006/customXml" ds:itemID="{58FA12D3-B013-4F8F-B6C9-37BEDE2FC2DE}">
  <ds:schemaRefs/>
</ds:datastoreItem>
</file>

<file path=customXml/itemProps6.xml><?xml version="1.0" encoding="utf-8"?>
<ds:datastoreItem xmlns:ds="http://schemas.openxmlformats.org/officeDocument/2006/customXml" ds:itemID="{D97EB1E0-B08B-4F53-90CF-0C463B44A823}">
  <ds:schemaRefs/>
</ds:datastoreItem>
</file>

<file path=customXml/itemProps7.xml><?xml version="1.0" encoding="utf-8"?>
<ds:datastoreItem xmlns:ds="http://schemas.openxmlformats.org/officeDocument/2006/customXml" ds:itemID="{12DCA9DD-CE62-4C1B-B0F7-01881841097F}">
  <ds:schemaRefs/>
</ds:datastoreItem>
</file>

<file path=customXml/itemProps8.xml><?xml version="1.0" encoding="utf-8"?>
<ds:datastoreItem xmlns:ds="http://schemas.openxmlformats.org/officeDocument/2006/customXml" ds:itemID="{9443D89A-16F2-4901-BF2E-1FC91226345D}">
  <ds:schemaRefs/>
</ds:datastoreItem>
</file>

<file path=customXml/itemProps9.xml><?xml version="1.0" encoding="utf-8"?>
<ds:datastoreItem xmlns:ds="http://schemas.openxmlformats.org/officeDocument/2006/customXml" ds:itemID="{5A18CBDA-BE3E-4A6F-9623-4592FBEF6778}">
  <ds:schemaRefs/>
</ds:datastoreItem>
</file>

<file path=customXml/itemProps10.xml><?xml version="1.0" encoding="utf-8"?>
<ds:datastoreItem xmlns:ds="http://schemas.openxmlformats.org/officeDocument/2006/customXml" ds:itemID="{1B59355F-F0A6-456E-95A4-04A296DADAE1}">
  <ds:schemaRefs/>
</ds:datastoreItem>
</file>

<file path=customXml/itemProps11.xml><?xml version="1.0" encoding="utf-8"?>
<ds:datastoreItem xmlns:ds="http://schemas.openxmlformats.org/officeDocument/2006/customXml" ds:itemID="{E1CB6AB5-CDCA-4DAA-B699-7E75E3FB6A2F}">
  <ds:schemaRefs/>
</ds:datastoreItem>
</file>

<file path=customXml/itemProps12.xml><?xml version="1.0" encoding="utf-8"?>
<ds:datastoreItem xmlns:ds="http://schemas.openxmlformats.org/officeDocument/2006/customXml" ds:itemID="{20DF4A2F-BACB-418A-9CCD-A2B88B238E41}">
  <ds:schemaRefs/>
</ds:datastoreItem>
</file>

<file path=customXml/itemProps13.xml><?xml version="1.0" encoding="utf-8"?>
<ds:datastoreItem xmlns:ds="http://schemas.openxmlformats.org/officeDocument/2006/customXml" ds:itemID="{9232CA22-EEBF-4F5E-803D-8398075C962A}">
  <ds:schemaRefs/>
</ds:datastoreItem>
</file>

<file path=customXml/itemProps14.xml><?xml version="1.0" encoding="utf-8"?>
<ds:datastoreItem xmlns:ds="http://schemas.openxmlformats.org/officeDocument/2006/customXml" ds:itemID="{24134DD3-D006-475A-BD5C-F5B5657E22DB}">
  <ds:schemaRefs/>
</ds:datastoreItem>
</file>

<file path=customXml/itemProps15.xml><?xml version="1.0" encoding="utf-8"?>
<ds:datastoreItem xmlns:ds="http://schemas.openxmlformats.org/officeDocument/2006/customXml" ds:itemID="{7C92ABFA-261D-4790-B5B8-EBE7A55906D3}">
  <ds:schemaRefs/>
</ds:datastoreItem>
</file>

<file path=customXml/itemProps16.xml><?xml version="1.0" encoding="utf-8"?>
<ds:datastoreItem xmlns:ds="http://schemas.openxmlformats.org/officeDocument/2006/customXml" ds:itemID="{F54E9223-03F8-4F27-9D1A-33DEB0441E8B}">
  <ds:schemaRefs/>
</ds:datastoreItem>
</file>

<file path=customXml/itemProps17.xml><?xml version="1.0" encoding="utf-8"?>
<ds:datastoreItem xmlns:ds="http://schemas.openxmlformats.org/officeDocument/2006/customXml" ds:itemID="{E3C32D14-89F1-4DC4-9EC7-EC540E859AE6}">
  <ds:schemaRefs/>
</ds:datastoreItem>
</file>

<file path=customXml/itemProps18.xml><?xml version="1.0" encoding="utf-8"?>
<ds:datastoreItem xmlns:ds="http://schemas.openxmlformats.org/officeDocument/2006/customXml" ds:itemID="{72333C7E-08E9-4BC9-BDD4-901AE1B7A1AE}">
  <ds:schemaRefs/>
</ds:datastoreItem>
</file>

<file path=customXml/itemProps19.xml><?xml version="1.0" encoding="utf-8"?>
<ds:datastoreItem xmlns:ds="http://schemas.openxmlformats.org/officeDocument/2006/customXml" ds:itemID="{504DAB7B-CEDD-479F-982C-63E422BEEBB1}">
  <ds:schemaRefs/>
</ds:datastoreItem>
</file>

<file path=customXml/itemProps20.xml><?xml version="1.0" encoding="utf-8"?>
<ds:datastoreItem xmlns:ds="http://schemas.openxmlformats.org/officeDocument/2006/customXml" ds:itemID="{59C95215-C76C-433A-ACD7-052AB67AE44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Documentation</vt:lpstr>
      <vt:lpstr>Summary</vt:lpstr>
      <vt:lpstr>Payment Form</vt:lpstr>
      <vt:lpstr>Donors</vt:lpstr>
      <vt:lpstr>Payments</vt:lpstr>
      <vt:lpstr>Pledge Tables</vt:lpstr>
      <vt:lpstr>Payment History</vt:lpstr>
      <vt:lpstr>Fully Paid Donations</vt:lpstr>
      <vt:lpstr>Terms and Defintions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NP Excel Module 12: Review Assignment</dc:title>
  <dc:creator>Your Name</dc:creator>
  <cp:lastModifiedBy>Jorge Rivas</cp:lastModifiedBy>
  <dcterms:created xsi:type="dcterms:W3CDTF">2019-03-10T00:38:20Z</dcterms:created>
  <dcterms:modified xsi:type="dcterms:W3CDTF">2021-12-15T02:17:06Z</dcterms:modified>
</cp:coreProperties>
</file>